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</sheets>
  <definedNames/>
  <calcPr/>
</workbook>
</file>

<file path=xl/sharedStrings.xml><?xml version="1.0" encoding="utf-8"?>
<sst xmlns="http://schemas.openxmlformats.org/spreadsheetml/2006/main" count="952" uniqueCount="472">
  <si>
    <t>Key</t>
  </si>
  <si>
    <t>Rep1</t>
  </si>
  <si>
    <t>Rep2</t>
  </si>
  <si>
    <t>Rep3</t>
  </si>
  <si>
    <t>Rep4</t>
  </si>
  <si>
    <t>S1</t>
  </si>
  <si>
    <t>鸟取酒店813</t>
  </si>
  <si>
    <t>2人可生可双</t>
  </si>
  <si>
    <t>鳥取県鳥取市東品治町102 鳥取ワシントンホテルプラザ 8階813号室</t>
  </si>
  <si>
    <t>12-24</t>
  </si>
  <si>
    <t>S4</t>
  </si>
  <si>
    <t>筑紫野酒店404</t>
  </si>
  <si>
    <t>1人可生</t>
  </si>
  <si>
    <t>福岡県筑紫野市湯町1-14-3 アイビーホテル筑紫野 4階404号室</t>
  </si>
  <si>
    <t>11-1</t>
  </si>
  <si>
    <t>S5</t>
  </si>
  <si>
    <t>丰桥酒店1405-1406</t>
  </si>
  <si>
    <t>愛知県豊橋市藤沢町141 ロワジールホテル豊橋 14階1405/1406号室</t>
  </si>
  <si>
    <t>S7</t>
  </si>
  <si>
    <t>奈良酒店901</t>
  </si>
  <si>
    <t>奈良県奈良市三条本町4-21 スマイルホテル奈良 9階901号室</t>
  </si>
  <si>
    <t>S9</t>
  </si>
  <si>
    <t>岐阜酒店622-624</t>
  </si>
  <si>
    <t>岐阜県岐阜市神田町7-7-4 岐阜ワシントンホテルプラザ 6階622/624号室</t>
  </si>
  <si>
    <t>S10</t>
  </si>
  <si>
    <t>北上酒店815</t>
  </si>
  <si>
    <t>1人不生</t>
  </si>
  <si>
    <t>岩手県北上市川岸1-14-1 ホテルシティプラザ北上 8階815号室</t>
  </si>
  <si>
    <t>12-1</t>
  </si>
  <si>
    <t>A1</t>
  </si>
  <si>
    <t>东神402</t>
  </si>
  <si>
    <t>1人可生 生13起</t>
  </si>
  <si>
    <t>神奈川県横浜市神奈川区東神奈川1-14-35 サンハロー東神奈川駅前 402号室</t>
  </si>
  <si>
    <t>11-2</t>
  </si>
  <si>
    <t>可以</t>
  </si>
  <si>
    <t>没有</t>
  </si>
  <si>
    <t>2回20起 没有女孩照片</t>
  </si>
  <si>
    <t>A2</t>
  </si>
  <si>
    <t>东神奈川3F</t>
  </si>
  <si>
    <t>神奈川県横浜市神奈川区二ツ谷町2-10 餃子やと同じ建物の3階、看板：美鈴怨</t>
  </si>
  <si>
    <t>12-2</t>
  </si>
  <si>
    <t>有店客</t>
  </si>
  <si>
    <t>回信慢</t>
  </si>
  <si>
    <t>A23</t>
  </si>
  <si>
    <t>中央林间201</t>
  </si>
  <si>
    <t>神奈川県大和市中央林間4-1-5 メゾンラフィッテ 201号室</t>
  </si>
  <si>
    <t>A26</t>
  </si>
  <si>
    <t>美满群-户塚208</t>
  </si>
  <si>
    <t>神奈川県横浜市戸塚区上倉田町1000 ハイツ山重 208号室</t>
  </si>
  <si>
    <t>没有门禁，上楼按铃，附近有收费停车场</t>
  </si>
  <si>
    <t>A27</t>
  </si>
  <si>
    <t>横须贺404</t>
  </si>
  <si>
    <t>2人1个生可双</t>
  </si>
  <si>
    <t>神奈川県横須賀市日の出町1-2-7 ノイエヨコスカ1番館 404号室</t>
  </si>
  <si>
    <t>有门禁按房号呼出</t>
  </si>
  <si>
    <t>A29</t>
  </si>
  <si>
    <t>藤沢801</t>
  </si>
  <si>
    <t>神奈川県藤沢市鵠沼花沢町2-2 グレースコート湘南 801号室</t>
  </si>
  <si>
    <t>A30</t>
  </si>
  <si>
    <t>藤沢303</t>
  </si>
  <si>
    <t>2人不生可双</t>
  </si>
  <si>
    <t>神奈川県藤沢市藤沢1031-1 日神パレステージ藤沢 303号室</t>
  </si>
  <si>
    <t>A31</t>
  </si>
  <si>
    <t>厚木303</t>
  </si>
  <si>
    <t>神奈川県海老名市中新田3-5-23 シルフィード厚木 303号室</t>
  </si>
  <si>
    <t>不能</t>
  </si>
  <si>
    <t>报单发送名字截图</t>
  </si>
  <si>
    <t>A32</t>
  </si>
  <si>
    <t>美满群-茅ヶ崎702</t>
  </si>
  <si>
    <t>神奈川県茅ヶ崎市新栄町13-16 茅ヶ崎ダイカンプラザシティ 702号室</t>
  </si>
  <si>
    <t>有门禁按房号呼出，附近有收费停车场</t>
  </si>
  <si>
    <t>A33</t>
  </si>
  <si>
    <t>海老名201</t>
  </si>
  <si>
    <t>神奈川県海老名市国分南1丁目11-6 フレクション海老名国分 201号室</t>
  </si>
  <si>
    <t>B1</t>
  </si>
  <si>
    <t>龟户302</t>
  </si>
  <si>
    <t>2人不生</t>
  </si>
  <si>
    <t>東京都江東区亀戸6-12-7 第2伸光マンション 302号室</t>
  </si>
  <si>
    <t>B4</t>
  </si>
  <si>
    <t>小岩903</t>
  </si>
  <si>
    <t>東京都江戸川区西小岩1丁目30-11 ハイホーム沖田 903号室</t>
  </si>
  <si>
    <t>没有门禁</t>
  </si>
  <si>
    <t>B5</t>
  </si>
  <si>
    <t>綾瀬704</t>
  </si>
  <si>
    <t>東京都足立区綾瀬3-9-7 VERXEED綾瀬駅前 704号室</t>
  </si>
  <si>
    <t>B7</t>
  </si>
  <si>
    <t>青井402</t>
  </si>
  <si>
    <t>東京都足立区青井2丁目24-5 コートアオイ 402号室</t>
  </si>
  <si>
    <t>没有门禁 附近有收费停车场</t>
  </si>
  <si>
    <t>B9</t>
  </si>
  <si>
    <t>錦糸町202</t>
  </si>
  <si>
    <t>東京都墨田区錦糸1-6-9 メインステージ錦糸町駅前 202号室</t>
  </si>
  <si>
    <t>不能找零 不接2回</t>
  </si>
  <si>
    <t>B11</t>
  </si>
  <si>
    <t>池袋301</t>
  </si>
  <si>
    <t>東京都豊島区池袋本町1丁目34-5 北池ハイツ 301号室</t>
  </si>
  <si>
    <t>没有女孩照片</t>
  </si>
  <si>
    <t>B12</t>
  </si>
  <si>
    <t>駒込201</t>
  </si>
  <si>
    <t>1人不生 不接2回</t>
  </si>
  <si>
    <t>東京都豊島区駒込2-4-2ペニンシュラ・コマゴメ 201号室</t>
  </si>
  <si>
    <t>偶尔有店客没通知</t>
  </si>
  <si>
    <t>B13</t>
  </si>
  <si>
    <t>板桥0903</t>
  </si>
  <si>
    <t>東京都板橋区板橋1丁目50-7 グランヴァンXEBEC板橋 9階0903号室</t>
  </si>
  <si>
    <t>B16</t>
  </si>
  <si>
    <t>蒲田802</t>
  </si>
  <si>
    <t>東京都大田区西蒲田7-29-5 ニューカマタビル 802号室</t>
  </si>
  <si>
    <t>偶尔回信慢</t>
  </si>
  <si>
    <t>B18</t>
  </si>
  <si>
    <t>蒲田601</t>
  </si>
  <si>
    <t>東京都大田区西蒲田7-7-1 グレイス蒲田 601号室</t>
  </si>
  <si>
    <t>提前告诉客人露脸看镜头 2回最低20000</t>
  </si>
  <si>
    <t>B19</t>
  </si>
  <si>
    <t>小川町3F</t>
  </si>
  <si>
    <t>東京都千代田区神田小川町1丁目6-2 古室ビル 3階です</t>
  </si>
  <si>
    <t>附近有收费停车场</t>
  </si>
  <si>
    <t>B22</t>
  </si>
  <si>
    <t>荻窪2F</t>
  </si>
  <si>
    <t>東京都杉並区上荻1-15-13 柴ビル 2階のエミにという店</t>
  </si>
  <si>
    <t>B23</t>
  </si>
  <si>
    <t>荻窪205</t>
  </si>
  <si>
    <t>東京都杉並区上荻1丁目11-5 ロゼリウス荻窪 205号室</t>
  </si>
  <si>
    <t>B26</t>
  </si>
  <si>
    <t>笹塚504</t>
  </si>
  <si>
    <t>東京都渋谷区笹塚2丁目14-15 ウェルト笹塚ツイン1 504号室</t>
  </si>
  <si>
    <t>B28</t>
  </si>
  <si>
    <t>涉谷802</t>
  </si>
  <si>
    <t>東京都渋谷区宇田川町36-2 ノア渋谷 802号室</t>
  </si>
  <si>
    <t>11-24</t>
  </si>
  <si>
    <t>是看板店</t>
  </si>
  <si>
    <t>B29</t>
  </si>
  <si>
    <t>駒沢大学903</t>
  </si>
  <si>
    <t>東京都世田谷区野沢2丁目34-5 Aden駒沢大学 903号室</t>
  </si>
  <si>
    <t>B30</t>
  </si>
  <si>
    <t>立川215</t>
  </si>
  <si>
    <t>東京都立川市曙町1丁目36-9 多摩セントラルビル 215号室</t>
  </si>
  <si>
    <t>B31</t>
  </si>
  <si>
    <t>立川201</t>
  </si>
  <si>
    <t>東京都立川市錦町1-5-25 コーポあきば 201号室</t>
  </si>
  <si>
    <t>不接3回 2回或3p20起</t>
  </si>
  <si>
    <t>B34</t>
  </si>
  <si>
    <t>府中301</t>
  </si>
  <si>
    <t>東京都府中市府中町2-5-7 ステーションビューロアール府中 301号室</t>
  </si>
  <si>
    <t>B35</t>
  </si>
  <si>
    <t>町田1403</t>
  </si>
  <si>
    <t>東京都町田市原町田6-16-7 アーバイルトルム町田 1403号室</t>
  </si>
  <si>
    <t>不接3回 2回20起</t>
  </si>
  <si>
    <t>B36</t>
  </si>
  <si>
    <t>町田401</t>
  </si>
  <si>
    <t>東京都町田市原町田6丁目16-7 アーバイルトルム町田 401号室</t>
  </si>
  <si>
    <t>B37</t>
  </si>
  <si>
    <t>町田602</t>
  </si>
  <si>
    <t>東京都町田市原町田6-26-3 ジョイフル町田 602号室</t>
  </si>
  <si>
    <t>B40</t>
  </si>
  <si>
    <t>东村山503</t>
  </si>
  <si>
    <t>東京都東村山市栄町2-2-10 Tokio久米川タワー 503号室</t>
  </si>
  <si>
    <t>B43</t>
  </si>
  <si>
    <t>吉祥寺210</t>
  </si>
  <si>
    <t>東京都武蔵野市吉祥寺本町2-24-6 吉祥寺グリーンハイツ 210号室</t>
  </si>
  <si>
    <t>B45</t>
  </si>
  <si>
    <t>小金井201</t>
  </si>
  <si>
    <t>東京都小金井市東町1-40-11 ロイヤルハイツハシモト 201号室</t>
  </si>
  <si>
    <t>经常回信慢</t>
  </si>
  <si>
    <t>B48</t>
  </si>
  <si>
    <t>田無403</t>
  </si>
  <si>
    <t>東京都西東京市田無町2丁目12-11 ハイツベルスプリング 403号室</t>
  </si>
  <si>
    <t>C1</t>
  </si>
  <si>
    <t>柏217</t>
  </si>
  <si>
    <t>千葉県柏市柏6-2-7 コートヤード・シブヤ 217号室</t>
  </si>
  <si>
    <t>C3</t>
  </si>
  <si>
    <t>北柏206</t>
  </si>
  <si>
    <t>千葉県柏市根戸1914-12 エソール・柏 206号室</t>
  </si>
  <si>
    <t>C4</t>
  </si>
  <si>
    <t>新宿201</t>
  </si>
  <si>
    <t>3人可生可双</t>
  </si>
  <si>
    <t>千葉県千葉市中央区新宿2-14-16 パ―クプラザ千葉新宿  201号室</t>
  </si>
  <si>
    <t>C8</t>
  </si>
  <si>
    <t>蘇我505</t>
  </si>
  <si>
    <t>2人1个生</t>
  </si>
  <si>
    <t>千葉県千葉市中央区南町2-18-16 カリンビル 505号室</t>
  </si>
  <si>
    <t>C10</t>
  </si>
  <si>
    <t>西船桥602</t>
  </si>
  <si>
    <t>千葉県船橋市印内町612 プルミエール西船 602号室</t>
  </si>
  <si>
    <t>C11</t>
  </si>
  <si>
    <t>西船桥905</t>
  </si>
  <si>
    <t>千葉県船橋市印内町570-1 鎌倉ビル 905号室</t>
  </si>
  <si>
    <t>回信慢 偶尔休息没通知</t>
  </si>
  <si>
    <t>C13</t>
  </si>
  <si>
    <t>船桥204</t>
  </si>
  <si>
    <t>2人可生</t>
  </si>
  <si>
    <t>千葉県船橋市本町6-9-6 ラプラビ船橋 204号室</t>
  </si>
  <si>
    <t>按204呼出后按电梯门按钮</t>
  </si>
  <si>
    <t>C14</t>
  </si>
  <si>
    <t>船桥604</t>
  </si>
  <si>
    <t>千葉県船橋市本町6-3-10 グリーンシティーときた 604号室</t>
  </si>
  <si>
    <t>C16</t>
  </si>
  <si>
    <t>津田沼311</t>
  </si>
  <si>
    <t>千葉県習志野市谷津7丁目7-22 スーペリア津田沼 311号室</t>
  </si>
  <si>
    <t>C17</t>
  </si>
  <si>
    <t>勝田台410</t>
  </si>
  <si>
    <t>千葉県八千代市勝田台1丁目30 京成サンコーポ勝田台C棟 3番階段410号室</t>
  </si>
  <si>
    <t>C18</t>
  </si>
  <si>
    <t>勝田台3F</t>
  </si>
  <si>
    <t>千葉県八千代市勝田台北1-19-43 玄気道ビル第七 3階の店</t>
  </si>
  <si>
    <t>是看板店 能上了告诉3楼</t>
  </si>
  <si>
    <t>C20</t>
  </si>
  <si>
    <t>八千代307</t>
  </si>
  <si>
    <t>千葉県八千代市勝田台1丁目30 京成サンコーポ勝田台C棟 307号室</t>
  </si>
  <si>
    <t>C22</t>
  </si>
  <si>
    <t>本八幡504</t>
  </si>
  <si>
    <t>千葉県市川市南八幡4-4-20 市川ルーフガーデンハイツ 504号室</t>
  </si>
  <si>
    <t>C23</t>
  </si>
  <si>
    <t>行德805</t>
  </si>
  <si>
    <t>2人可生可套双</t>
  </si>
  <si>
    <t>千葉県市川市行徳駅前2-7-1 遠藤ビル 805号室</t>
  </si>
  <si>
    <t>C31</t>
  </si>
  <si>
    <t>佐倉B-5</t>
  </si>
  <si>
    <t>千葉県佐倉市新町187-2 キャピタル一番館 3階のB-5号室</t>
  </si>
  <si>
    <t>注意是3楼的房间</t>
  </si>
  <si>
    <t>D2</t>
  </si>
  <si>
    <t>川越213</t>
  </si>
  <si>
    <t>1人可生中</t>
  </si>
  <si>
    <t>埼玉県川越市稲荷町6-18 ブルーハイツK 213号室</t>
  </si>
  <si>
    <t>D6</t>
  </si>
  <si>
    <t>南浦和201</t>
  </si>
  <si>
    <t>埼玉県さいたま市南区南本町2-14-18 第16ユーセードムス 201号室</t>
  </si>
  <si>
    <t>D7</t>
  </si>
  <si>
    <t>浦和207</t>
  </si>
  <si>
    <t>2人可生不双</t>
  </si>
  <si>
    <t>埼玉県さいたま市浦和区岸町4丁目26-8 プリムローズ岸町 207号室</t>
  </si>
  <si>
    <t>12-1:30</t>
  </si>
  <si>
    <t>D8</t>
  </si>
  <si>
    <t>蕨402</t>
  </si>
  <si>
    <t>埼玉県川口市芝新町4-14 ラフィスタ芝新町 402号室</t>
  </si>
  <si>
    <t>D9</t>
  </si>
  <si>
    <t>谷塚217</t>
  </si>
  <si>
    <t>埼玉県草加市谷塚町1363-1 リレント谷塚II 217号室</t>
  </si>
  <si>
    <t>D10</t>
  </si>
  <si>
    <t>草加705</t>
  </si>
  <si>
    <t>埼玉県草加市氷川町2149-19 ライブコート草加 705号室</t>
  </si>
  <si>
    <t>D11</t>
  </si>
  <si>
    <t>小手指301</t>
  </si>
  <si>
    <t>埼玉県所沢市小手指町3-7-3 煉瓦館25 301号室</t>
  </si>
  <si>
    <t>D13</t>
  </si>
  <si>
    <t>饭能4B</t>
  </si>
  <si>
    <t>埼玉県飯能市柳町23-18 EXCEED飯能 4B号室</t>
  </si>
  <si>
    <t>D14</t>
  </si>
  <si>
    <t>饭能303</t>
  </si>
  <si>
    <t>埼玉県飯能市柳町9-14 グランシャリオ飯能 303号室</t>
  </si>
  <si>
    <t>D15</t>
  </si>
  <si>
    <t>上福岡202</t>
  </si>
  <si>
    <t>埼玉県ふじみ野市上福岡1丁目7-10 ウィング上福岡 202号室</t>
  </si>
  <si>
    <t>D16</t>
  </si>
  <si>
    <t>上福岡2F</t>
  </si>
  <si>
    <t>埼玉県ふじみ野市上福岡1丁目13-4  麻雀クラブ方の階段から2階にある店です</t>
  </si>
  <si>
    <t>D17</t>
  </si>
  <si>
    <t>上福岡302</t>
  </si>
  <si>
    <t>埼玉県ふじみ野市上福岡1丁目6-21 村田ビル 302号室</t>
  </si>
  <si>
    <t>D18</t>
  </si>
  <si>
    <t>熊谷603</t>
  </si>
  <si>
    <t>埼玉県熊谷市銀座1-153 ロハス星川 603号室</t>
  </si>
  <si>
    <t>D19</t>
  </si>
  <si>
    <t>美满群-大宫603</t>
  </si>
  <si>
    <t>埼玉県さいたま市大宮区桜木町2丁目457-1 志延舍 603号室</t>
  </si>
  <si>
    <t>D21</t>
  </si>
  <si>
    <t>美满群-新狭山303</t>
  </si>
  <si>
    <t>埼玉県狭山市新狭山2丁目23-11 オーク新狭山 303号室</t>
  </si>
  <si>
    <t>没有门禁，上楼按铃，没有电梯，附近有收费停车场</t>
  </si>
  <si>
    <t>D25</t>
  </si>
  <si>
    <t>新越谷503</t>
  </si>
  <si>
    <t>埼玉県越谷市南越谷4丁目12-22 サクラビルディング 503号室</t>
  </si>
  <si>
    <t>D27</t>
  </si>
  <si>
    <t>朝霞203</t>
  </si>
  <si>
    <t>2人可生中可双</t>
  </si>
  <si>
    <t>埼玉県朝霞市北原2丁目12-32  メゾンヨネダ 203号室</t>
  </si>
  <si>
    <t>D28</t>
  </si>
  <si>
    <t>朝霞111</t>
  </si>
  <si>
    <r>
      <rPr>
        <rFont val="等线"/>
        <color rgb="FF000000"/>
        <sz val="18.0"/>
      </rPr>
      <t xml:space="preserve">埼玉県朝霞市本町1丁目22-15 ウィンベルソロ朝霞NO1 111号室 </t>
    </r>
    <r>
      <rPr>
        <rFont val="等线"/>
        <b/>
        <color rgb="FFFFFFFF"/>
        <sz val="18.0"/>
      </rPr>
      <t>下午12点后开工</t>
    </r>
  </si>
  <si>
    <t>E2</t>
  </si>
  <si>
    <t>泉大津402</t>
  </si>
  <si>
    <t>大阪府泉大津市東豊中町1-5-48 シンエイビル 402号室</t>
  </si>
  <si>
    <t>E3</t>
  </si>
  <si>
    <t>西成302</t>
  </si>
  <si>
    <t>大阪府大阪市西成区旭1-8-5 サンハイツタケナワ 302号室</t>
  </si>
  <si>
    <t>回信慢 有时候联系不上</t>
  </si>
  <si>
    <t>E4</t>
  </si>
  <si>
    <t>生野503</t>
  </si>
  <si>
    <t>大阪府大阪市生野区鶴橋1-5-21 カーサフェリーチェ 503号室</t>
  </si>
  <si>
    <t>E5</t>
  </si>
  <si>
    <t>堺筋本町405</t>
  </si>
  <si>
    <t>大阪府大阪市中央区備後町1-4-6  ラナップスクエ堺筋本町 405号室</t>
  </si>
  <si>
    <t>E7</t>
  </si>
  <si>
    <t>日本桥501</t>
  </si>
  <si>
    <t>大阪府大阪市中央区日本橋1丁目3-2 コージーアパートメント日本橋 501号室</t>
  </si>
  <si>
    <t>E8</t>
  </si>
  <si>
    <t>高津501</t>
  </si>
  <si>
    <t>大阪府大阪市中央区高津2丁目4-20 M.C.高津メゾンエルム 501号室</t>
  </si>
  <si>
    <t>E9</t>
  </si>
  <si>
    <t>高津207</t>
  </si>
  <si>
    <t>2人不生不双</t>
  </si>
  <si>
    <t>大阪府大阪市天王寺区生玉町11-29 朝日プラザ高津第1 207号室</t>
  </si>
  <si>
    <t>E10</t>
  </si>
  <si>
    <t>大阪1404</t>
  </si>
  <si>
    <t>大阪府大阪市淀川区西中島1丁目14-4 プレサンス新大阪ストリーム 1404号室</t>
  </si>
  <si>
    <t>E12</t>
  </si>
  <si>
    <t>淀川710</t>
  </si>
  <si>
    <t>大阪府大阪市淀川区西中島5丁目8-21 マイルド新大阪レジデンス 710号室</t>
  </si>
  <si>
    <t>12-23</t>
  </si>
  <si>
    <t>到门口不要按铃 不要敲门</t>
  </si>
  <si>
    <t>E13</t>
  </si>
  <si>
    <t>西中岛901</t>
  </si>
  <si>
    <t>大阪府大阪市淀川区西中島3-12-4 ATOLL西中島 901号室</t>
  </si>
  <si>
    <t>E14</t>
  </si>
  <si>
    <t>东淀川1003</t>
  </si>
  <si>
    <t>大阪市東淀川区西淡路1-1-28 ライオンズマンション 1003号室</t>
  </si>
  <si>
    <t>E16</t>
  </si>
  <si>
    <t>大阪203</t>
  </si>
  <si>
    <t>大阪府大阪市平野区背戸口5-6-12 カサ・エルドラード 203号室</t>
  </si>
  <si>
    <t>门禁密码1181E</t>
  </si>
  <si>
    <t>E23</t>
  </si>
  <si>
    <t>京桥304</t>
  </si>
  <si>
    <t>大阪府大阪市都島区東野田町4-14-10 レクシア京橋 304号室</t>
  </si>
  <si>
    <t>E25</t>
  </si>
  <si>
    <t>守口303</t>
  </si>
  <si>
    <t>大阪府守口市寺内町1-5-5 クレイン守口  303号室</t>
  </si>
  <si>
    <t>E26</t>
  </si>
  <si>
    <t>守口806</t>
  </si>
  <si>
    <t>大阪府守口市春日町1-19 アドヴァンテージ守口 806号室</t>
  </si>
  <si>
    <t>E29</t>
  </si>
  <si>
    <t>江坂1101</t>
  </si>
  <si>
    <t>大阪府吹田市江の木町17-16 アーデン江坂 1101号室</t>
  </si>
  <si>
    <t>有店客没通知</t>
  </si>
  <si>
    <t>E30</t>
  </si>
  <si>
    <t>松原306</t>
  </si>
  <si>
    <t>大阪府松原市上田1-4-8 ふぁみーゆ上田III 306号室</t>
  </si>
  <si>
    <t>F2</t>
  </si>
  <si>
    <t>一社503</t>
  </si>
  <si>
    <t>愛知県名古屋市名東区一社1-125 アサノビル 503号室</t>
  </si>
  <si>
    <t>回复慢 偶尔会失联</t>
  </si>
  <si>
    <t>F3</t>
  </si>
  <si>
    <t>名東201</t>
  </si>
  <si>
    <t>愛知県名古屋市名東区八前1-202 京和コーポ 201号室</t>
  </si>
  <si>
    <t>停车场5号</t>
  </si>
  <si>
    <t>F6</t>
  </si>
  <si>
    <t>柴田1004</t>
  </si>
  <si>
    <t>愛知県名古屋市南区柴田町3-22 ラディアント柴田 1004号室</t>
  </si>
  <si>
    <t>F12</t>
  </si>
  <si>
    <t>高畑502</t>
  </si>
  <si>
    <t>愛知県名古屋市中川区高畑3-40 ブラザービル 502号室</t>
  </si>
  <si>
    <t>F13</t>
  </si>
  <si>
    <t>北区603</t>
  </si>
  <si>
    <t>愛知県名古屋市北区若葉通1丁目21 メゾンコロル 603号室</t>
  </si>
  <si>
    <t>F14</t>
  </si>
  <si>
    <t>小田井902</t>
  </si>
  <si>
    <t>愛知県名古屋市西区上小田井1-47 ブルーウェーブマンショ 902号室</t>
  </si>
  <si>
    <t>F16</t>
  </si>
  <si>
    <t>港区1107</t>
  </si>
  <si>
    <t>愛知県名古屋市港区名港1丁目1-19 三旺ポートタウン港 1107号室</t>
  </si>
  <si>
    <t>附近便利店可以停车</t>
  </si>
  <si>
    <t>F21</t>
  </si>
  <si>
    <t>春日井201</t>
  </si>
  <si>
    <t>愛知県春日井市八幡町35-1 ニューブラウンハイツ 201号室</t>
  </si>
  <si>
    <t>F24</t>
  </si>
  <si>
    <t>小牧301</t>
  </si>
  <si>
    <t>愛知県小牧市小牧1-254 第2メゾンたけ宗 301号室</t>
  </si>
  <si>
    <t>F33</t>
  </si>
  <si>
    <t>豊橋203</t>
  </si>
  <si>
    <t>愛知県豊橋市菰口町3-95 第5フクマルビル 203号室</t>
  </si>
  <si>
    <t>F34</t>
  </si>
  <si>
    <t>豊川203</t>
  </si>
  <si>
    <t>愛知県豊川市平尾町神田64-1 ル・ボア大黒平尾A  203号室</t>
  </si>
  <si>
    <t>没有女孩照片 休息不通知</t>
  </si>
  <si>
    <t>駐車場は5番</t>
  </si>
  <si>
    <t>F42</t>
  </si>
  <si>
    <t>半田一户建</t>
  </si>
  <si>
    <t>愛知県半田市乙川太田町2-87-2</t>
  </si>
  <si>
    <t>F45</t>
  </si>
  <si>
    <t>半田304</t>
  </si>
  <si>
    <t>愛知県半田市東郷町4-101-2 ウェルネスタウン 304号室</t>
  </si>
  <si>
    <t>停车位 5号、20号</t>
  </si>
  <si>
    <t>F47</t>
  </si>
  <si>
    <t>大府2F</t>
  </si>
  <si>
    <t>愛知県大府市月見町1-28 ボンジュール大府 2階の部屋</t>
  </si>
  <si>
    <t>F49</t>
  </si>
  <si>
    <t>あま406</t>
  </si>
  <si>
    <t>愛知県あま市小橋方南山西154-2 小橋方コーポラスB棟 406号室</t>
  </si>
  <si>
    <t>駐車場はB46番</t>
  </si>
  <si>
    <t>F50</t>
  </si>
  <si>
    <t>尾张旭303</t>
  </si>
  <si>
    <t>愛知県尾張旭市瀬戸川町2-80 ロータスフラワー 303号室</t>
  </si>
  <si>
    <t>駐車場は16番</t>
  </si>
  <si>
    <t>F51</t>
  </si>
  <si>
    <t>蟹江102</t>
  </si>
  <si>
    <t>愛知県海部郡蟹江町富吉4丁目139 近鉄富吉コーポB棟 102号室</t>
  </si>
  <si>
    <t>F52</t>
  </si>
  <si>
    <t>长久手102</t>
  </si>
  <si>
    <t>愛知県長久手市東狭間912 ガーデンハイツエクレール 102号室</t>
  </si>
  <si>
    <t>駐車場は10番</t>
  </si>
  <si>
    <t>F53</t>
  </si>
  <si>
    <t>濑户101</t>
  </si>
  <si>
    <t>愛知県瀬戸市瀬戸口町111 ブリード瀬戸口 101号室</t>
  </si>
  <si>
    <t>駐車場は22番</t>
  </si>
  <si>
    <t>G9</t>
  </si>
  <si>
    <t>瑞穂1001</t>
  </si>
  <si>
    <t>岐阜県瑞穂市野田新田4128-2 品川第2ビル 1001号室</t>
  </si>
  <si>
    <t>G11</t>
  </si>
  <si>
    <t>可儿301</t>
  </si>
  <si>
    <t>岐阜県可児市広見6丁目40 朝日プラザ可児 301号室</t>
  </si>
  <si>
    <t>附近超市可以停车</t>
  </si>
  <si>
    <t>G14</t>
  </si>
  <si>
    <t>浜松704</t>
  </si>
  <si>
    <t>静岡県浜松市中央区海老塚1-10-20 朝日プラザ浜松ステーションスクエア 704号室</t>
  </si>
  <si>
    <t>G16</t>
  </si>
  <si>
    <t>袋井202</t>
  </si>
  <si>
    <t>静岡県袋井市高尾746-1 AAI高尾 202号室</t>
  </si>
  <si>
    <t>G18</t>
  </si>
  <si>
    <t>八幡309</t>
  </si>
  <si>
    <t>静岡県浜松市中央区布橋1丁目17-40 城北パーソナルハイツW 309号室</t>
  </si>
  <si>
    <t>附近书店可以停车</t>
  </si>
  <si>
    <t>G19</t>
  </si>
  <si>
    <t>磐田201</t>
  </si>
  <si>
    <t>静岡県磐田市森下700-11 シミズハイツ 201号室</t>
  </si>
  <si>
    <t>G22</t>
  </si>
  <si>
    <t>掛川202</t>
  </si>
  <si>
    <t>静岡県掛川市杉谷2-6-12 BellWood 202号室</t>
  </si>
  <si>
    <t>停202号或附近便利店</t>
  </si>
  <si>
    <t>G25</t>
  </si>
  <si>
    <t>沼津2A</t>
  </si>
  <si>
    <t>静岡県沼津市高沢町9-8 パティオ高沢 2A号室</t>
  </si>
  <si>
    <t>没有门禁 让客人敲门</t>
  </si>
  <si>
    <t>H11</t>
  </si>
  <si>
    <t>郡山416</t>
  </si>
  <si>
    <t>福島県郡山市安積荒井本町441 サンシヤインビル  416号室</t>
  </si>
  <si>
    <t>做得慢 没有女孩照片</t>
  </si>
  <si>
    <t>H17</t>
  </si>
  <si>
    <t>西宫103</t>
  </si>
  <si>
    <t>兵庫県西宮市深津町3-3 ダイドーメゾン西宮北口10  103号室</t>
  </si>
  <si>
    <t>H20</t>
  </si>
  <si>
    <t>姬路704</t>
  </si>
  <si>
    <t>兵庫県姫路市広畑区東新町1-38-1 デアリックス広畑 704号室</t>
  </si>
  <si>
    <t>H22</t>
  </si>
  <si>
    <t>姬路716</t>
  </si>
  <si>
    <t>兵庫県姫路市朝日町湯ノ坪444 Luxe姫路 716号室</t>
  </si>
  <si>
    <t>K1</t>
  </si>
  <si>
    <t>长野503</t>
  </si>
  <si>
    <t>長野県長野市大字長野東町132 アシスト長野マンション 503号室</t>
  </si>
  <si>
    <t>K5</t>
  </si>
  <si>
    <t>松本405</t>
  </si>
  <si>
    <t>長野県松本市中央1丁目2-7 大東プラザニュー伊勢町 405号室</t>
  </si>
  <si>
    <t>K6</t>
  </si>
  <si>
    <t>上田503</t>
  </si>
  <si>
    <t>長野県上田市上塩尻226-1 ザ・グレイス・シグマ 503号室</t>
  </si>
  <si>
    <t>K17</t>
  </si>
  <si>
    <t>石卷210</t>
  </si>
  <si>
    <t>宮城県石巻市中央3丁目5-22 メゾン・ド・コパン 210号室</t>
  </si>
  <si>
    <t>M17</t>
  </si>
  <si>
    <t>金泽710</t>
  </si>
  <si>
    <t>石川県金沢市此花町3-3 ライブ1 710号室</t>
  </si>
  <si>
    <t>N8</t>
  </si>
  <si>
    <t>大津302</t>
  </si>
  <si>
    <t>滋賀県大津市中央1丁目2-35 アセンティアびわこ 302号室</t>
  </si>
  <si>
    <t>N20</t>
  </si>
  <si>
    <t>德岛403</t>
  </si>
  <si>
    <t>徳島県徳島市銀座10 福助ビル第63 403号室</t>
  </si>
  <si>
    <t>N22</t>
  </si>
  <si>
    <t>青森202</t>
  </si>
  <si>
    <t>青森県青森市安方1丁目9-16 エクセルビュー 202号室</t>
  </si>
  <si>
    <t>N31</t>
  </si>
  <si>
    <t>长冈215</t>
  </si>
  <si>
    <t>新潟県長岡市渡里町4-5 オクトワール長岡中央 215号室</t>
  </si>
  <si>
    <t>楼后面的停车位3号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</si>
</sst>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8.0"/>
      <color theme="1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8.0"/>
      <color theme="1"/>
      <name val="Arial"/>
    </font>
    <font>
      <color theme="1"/>
      <name val="Arial"/>
    </font>
    <font/>
    <font>
      <sz val="18.0"/>
      <color theme="1"/>
      <name val="Yu Gothic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49" xfId="0" applyFont="1" applyNumberFormat="1"/>
    <xf borderId="0" fillId="0" fontId="3" numFmtId="0" xfId="0" applyFont="1"/>
    <xf borderId="0" fillId="0" fontId="4" numFmtId="49" xfId="0" applyFont="1" applyNumberFormat="1"/>
    <xf borderId="1" fillId="0" fontId="4" numFmtId="49" xfId="0" applyBorder="1" applyFont="1" applyNumberFormat="1"/>
    <xf borderId="1" fillId="0" fontId="4" numFmtId="49" xfId="0" applyAlignment="1" applyBorder="1" applyFont="1" applyNumberFormat="1">
      <alignment horizontal="center" vertical="bottom"/>
    </xf>
    <xf borderId="1" fillId="0" fontId="5" numFmtId="49" xfId="0" applyAlignment="1" applyBorder="1" applyFont="1" applyNumberFormat="1">
      <alignment vertical="bottom"/>
    </xf>
    <xf borderId="1" fillId="2" fontId="4" numFmtId="49" xfId="0" applyAlignment="1" applyBorder="1" applyFill="1" applyFont="1" applyNumberFormat="1">
      <alignment horizontal="center" vertical="bottom"/>
    </xf>
    <xf borderId="2" fillId="2" fontId="4" numFmtId="49" xfId="0" applyAlignment="1" applyBorder="1" applyFont="1" applyNumberFormat="1">
      <alignment horizontal="center" vertical="bottom"/>
    </xf>
    <xf borderId="3" fillId="0" fontId="6" numFmtId="0" xfId="0" applyBorder="1" applyFont="1"/>
    <xf borderId="2" fillId="0" fontId="4" numFmtId="49" xfId="0" applyAlignment="1" applyBorder="1" applyFont="1" applyNumberFormat="1">
      <alignment horizontal="center" vertical="bottom"/>
    </xf>
    <xf borderId="1" fillId="0" fontId="4" numFmtId="49" xfId="0" applyAlignment="1" applyBorder="1" applyFont="1" applyNumberFormat="1">
      <alignment horizontal="center" shrinkToFit="0" vertical="bottom" wrapText="1"/>
    </xf>
    <xf borderId="1" fillId="3" fontId="4" numFmtId="49" xfId="0" applyAlignment="1" applyBorder="1" applyFill="1" applyFont="1" applyNumberFormat="1">
      <alignment horizontal="center" vertical="bottom"/>
    </xf>
    <xf borderId="1" fillId="3" fontId="5" numFmtId="49" xfId="0" applyAlignment="1" applyBorder="1" applyFont="1" applyNumberFormat="1">
      <alignment vertical="bottom"/>
    </xf>
    <xf borderId="1" fillId="0" fontId="7" numFmtId="49" xfId="0" applyAlignment="1" applyBorder="1" applyFont="1" applyNumberFormat="1">
      <alignment horizontal="center" vertical="bottom"/>
    </xf>
    <xf borderId="0" fillId="0" fontId="5" numFmtId="49" xfId="0" applyAlignment="1" applyFont="1" applyNumberFormat="1">
      <alignment vertical="bottom"/>
    </xf>
    <xf borderId="0" fillId="0" fontId="4" numFmtId="49" xfId="0" applyAlignment="1" applyFont="1" applyNumberFormat="1">
      <alignment horizontal="center" vertical="bottom"/>
    </xf>
    <xf borderId="1" fillId="0" fontId="4" numFmtId="49" xfId="0" applyAlignment="1" applyBorder="1" applyFont="1" applyNumberFormat="1">
      <alignment horizontal="center"/>
    </xf>
    <xf borderId="1" fillId="0" fontId="8" numFmtId="49" xfId="0" applyBorder="1" applyFont="1" applyNumberFormat="1"/>
    <xf borderId="1" fillId="0" fontId="8" numFmtId="49" xfId="0" applyAlignment="1" applyBorder="1" applyFont="1" applyNumberFormat="1">
      <alignment vertical="bottom"/>
    </xf>
    <xf borderId="1" fillId="0" fontId="7" numFmtId="49" xfId="0" applyAlignment="1" applyBorder="1" applyFont="1" applyNumberFormat="1">
      <alignment horizontal="center"/>
    </xf>
    <xf borderId="2" fillId="0" fontId="4" numFmtId="49" xfId="0" applyAlignment="1" applyBorder="1" applyFont="1" applyNumberFormat="1">
      <alignment horizontal="center"/>
    </xf>
    <xf borderId="0" fillId="0" fontId="8" numFmtId="49" xfId="0" applyFont="1" applyNumberFormat="1"/>
    <xf borderId="0" fillId="0" fontId="4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6.0"/>
    <col customWidth="1" min="3" max="3" width="77.0"/>
    <col customWidth="1" min="4" max="4" width="8.13"/>
    <col customWidth="1" min="5" max="5" width="27.0"/>
    <col customWidth="1" min="6" max="6" width="25.38"/>
    <col customWidth="1" min="7" max="7" width="13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3"/>
      <c r="K1" s="3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tr">
        <f t="shared" ref="A2:A202" si="1">getJapanesePrefectureDirect(G2)</f>
        <v>鳥取県</v>
      </c>
      <c r="B2" s="6" t="str">
        <f t="shared" ref="B2:B202" si="2">getJapaneseCityWardDirect(G2)</f>
        <v>鳥取市</v>
      </c>
      <c r="C2" s="6" t="str">
        <f t="shared" ref="C2:C202" si="3">getJapaneseRemainingAddressDirect(G2)</f>
        <v>東品治町102 鳥取ワシントンホテルプラザ</v>
      </c>
      <c r="D2" s="7" t="s">
        <v>5</v>
      </c>
      <c r="E2" s="7" t="s">
        <v>6</v>
      </c>
      <c r="F2" s="7" t="s">
        <v>7</v>
      </c>
      <c r="G2" s="7" t="s">
        <v>8</v>
      </c>
      <c r="H2" s="7" t="s">
        <v>9</v>
      </c>
      <c r="I2" s="8"/>
      <c r="J2" s="8"/>
      <c r="K2" s="8"/>
      <c r="L2" s="8"/>
    </row>
    <row r="3">
      <c r="A3" s="5" t="str">
        <f t="shared" si="1"/>
        <v>福岡県</v>
      </c>
      <c r="B3" s="6" t="str">
        <f t="shared" si="2"/>
        <v>筑紫野市</v>
      </c>
      <c r="C3" s="6" t="str">
        <f t="shared" si="3"/>
        <v>湯町1-14-3 アイビーホテル筑紫野</v>
      </c>
      <c r="D3" s="7" t="s">
        <v>10</v>
      </c>
      <c r="E3" s="7" t="s">
        <v>11</v>
      </c>
      <c r="F3" s="7" t="s">
        <v>12</v>
      </c>
      <c r="G3" s="7" t="s">
        <v>13</v>
      </c>
      <c r="H3" s="7" t="s">
        <v>14</v>
      </c>
      <c r="I3" s="8"/>
      <c r="J3" s="8"/>
      <c r="K3" s="8"/>
      <c r="L3" s="8"/>
    </row>
    <row r="4">
      <c r="A4" s="5" t="str">
        <f t="shared" si="1"/>
        <v>愛知県</v>
      </c>
      <c r="B4" s="6" t="str">
        <f t="shared" si="2"/>
        <v>豊橋市</v>
      </c>
      <c r="C4" s="6" t="str">
        <f t="shared" si="3"/>
        <v>藤沢町141 ロワジールホテル豊橋</v>
      </c>
      <c r="D4" s="7" t="s">
        <v>15</v>
      </c>
      <c r="E4" s="7" t="s">
        <v>16</v>
      </c>
      <c r="F4" s="7" t="s">
        <v>7</v>
      </c>
      <c r="G4" s="7" t="s">
        <v>17</v>
      </c>
      <c r="H4" s="7" t="s">
        <v>9</v>
      </c>
      <c r="I4" s="8"/>
      <c r="J4" s="8"/>
      <c r="K4" s="8"/>
      <c r="L4" s="8"/>
    </row>
    <row r="5">
      <c r="A5" s="5" t="str">
        <f t="shared" si="1"/>
        <v>奈良県</v>
      </c>
      <c r="B5" s="6" t="str">
        <f t="shared" si="2"/>
        <v>奈良市</v>
      </c>
      <c r="C5" s="6" t="str">
        <f t="shared" si="3"/>
        <v>三条本町4-21 スマイルホテル奈良</v>
      </c>
      <c r="D5" s="7" t="s">
        <v>18</v>
      </c>
      <c r="E5" s="7" t="s">
        <v>19</v>
      </c>
      <c r="F5" s="7" t="s">
        <v>7</v>
      </c>
      <c r="G5" s="7" t="s">
        <v>20</v>
      </c>
      <c r="H5" s="7" t="s">
        <v>14</v>
      </c>
      <c r="I5" s="8"/>
      <c r="J5" s="8"/>
      <c r="K5" s="8"/>
      <c r="L5" s="8"/>
    </row>
    <row r="6">
      <c r="A6" s="5" t="str">
        <f t="shared" si="1"/>
        <v>岐阜県</v>
      </c>
      <c r="B6" s="6" t="str">
        <f t="shared" si="2"/>
        <v>岐阜市</v>
      </c>
      <c r="C6" s="6" t="str">
        <f t="shared" si="3"/>
        <v>神田町7-7-4 岐阜ワシントンホテルプラザ</v>
      </c>
      <c r="D6" s="7" t="s">
        <v>21</v>
      </c>
      <c r="E6" s="7" t="s">
        <v>22</v>
      </c>
      <c r="F6" s="7" t="s">
        <v>7</v>
      </c>
      <c r="G6" s="7" t="s">
        <v>23</v>
      </c>
      <c r="H6" s="7" t="s">
        <v>14</v>
      </c>
      <c r="I6" s="8"/>
      <c r="J6" s="8"/>
      <c r="K6" s="8"/>
      <c r="L6" s="8"/>
    </row>
    <row r="7">
      <c r="A7" s="5" t="str">
        <f t="shared" si="1"/>
        <v>岩手県</v>
      </c>
      <c r="B7" s="6" t="str">
        <f t="shared" si="2"/>
        <v>北上市</v>
      </c>
      <c r="C7" s="6" t="str">
        <f t="shared" si="3"/>
        <v>川岸1-14-1 ホテルシティプラザ北上</v>
      </c>
      <c r="D7" s="7" t="s">
        <v>24</v>
      </c>
      <c r="E7" s="7" t="s">
        <v>25</v>
      </c>
      <c r="F7" s="7" t="s">
        <v>26</v>
      </c>
      <c r="G7" s="7" t="s">
        <v>27</v>
      </c>
      <c r="H7" s="7" t="s">
        <v>28</v>
      </c>
      <c r="I7" s="8"/>
      <c r="J7" s="8"/>
      <c r="K7" s="8"/>
      <c r="L7" s="8"/>
    </row>
    <row r="8">
      <c r="A8" s="5" t="str">
        <f t="shared" si="1"/>
        <v>神奈川県</v>
      </c>
      <c r="B8" s="6" t="str">
        <f t="shared" si="2"/>
        <v>神奈川区</v>
      </c>
      <c r="C8" s="6" t="str">
        <f t="shared" si="3"/>
        <v>東神奈川1-14-35 サンハロー東神奈川駅前</v>
      </c>
      <c r="D8" s="7" t="s">
        <v>29</v>
      </c>
      <c r="E8" s="7" t="s">
        <v>30</v>
      </c>
      <c r="F8" s="7" t="s">
        <v>31</v>
      </c>
      <c r="G8" s="7" t="s">
        <v>32</v>
      </c>
      <c r="H8" s="7" t="s">
        <v>33</v>
      </c>
      <c r="I8" s="7" t="s">
        <v>34</v>
      </c>
      <c r="J8" s="7" t="s">
        <v>35</v>
      </c>
      <c r="K8" s="7" t="s">
        <v>36</v>
      </c>
      <c r="L8" s="8"/>
    </row>
    <row r="9">
      <c r="A9" s="5" t="str">
        <f t="shared" si="1"/>
        <v>神奈川県</v>
      </c>
      <c r="B9" s="6" t="str">
        <f t="shared" si="2"/>
        <v>神奈川区</v>
      </c>
      <c r="C9" s="6" t="str">
        <f t="shared" si="3"/>
        <v>二ツ谷町2-10 餃子やと同じ建物の</v>
      </c>
      <c r="D9" s="7" t="s">
        <v>37</v>
      </c>
      <c r="E9" s="7" t="s">
        <v>38</v>
      </c>
      <c r="F9" s="7" t="s">
        <v>26</v>
      </c>
      <c r="G9" s="7" t="s">
        <v>39</v>
      </c>
      <c r="H9" s="7" t="s">
        <v>40</v>
      </c>
      <c r="I9" s="7" t="s">
        <v>34</v>
      </c>
      <c r="J9" s="7" t="s">
        <v>41</v>
      </c>
      <c r="K9" s="7" t="s">
        <v>42</v>
      </c>
      <c r="L9" s="8"/>
    </row>
    <row r="10">
      <c r="A10" s="5" t="str">
        <f t="shared" si="1"/>
        <v>神奈川県</v>
      </c>
      <c r="B10" s="6" t="str">
        <f t="shared" si="2"/>
        <v>大和市</v>
      </c>
      <c r="C10" s="6" t="str">
        <f t="shared" si="3"/>
        <v>中央林間4-1-5 メゾンラフィッテ</v>
      </c>
      <c r="D10" s="7" t="s">
        <v>43</v>
      </c>
      <c r="E10" s="7" t="s">
        <v>44</v>
      </c>
      <c r="F10" s="7" t="s">
        <v>26</v>
      </c>
      <c r="G10" s="7" t="s">
        <v>45</v>
      </c>
      <c r="H10" s="7" t="s">
        <v>14</v>
      </c>
      <c r="I10" s="7" t="s">
        <v>34</v>
      </c>
      <c r="J10" s="7" t="s">
        <v>41</v>
      </c>
      <c r="K10" s="8"/>
      <c r="L10" s="8"/>
    </row>
    <row r="11">
      <c r="A11" s="5" t="str">
        <f t="shared" si="1"/>
        <v>神奈川県</v>
      </c>
      <c r="B11" s="6" t="str">
        <f t="shared" si="2"/>
        <v>戸塚区</v>
      </c>
      <c r="C11" s="6" t="str">
        <f t="shared" si="3"/>
        <v>上倉田町1000 ハイツ山重</v>
      </c>
      <c r="D11" s="9" t="s">
        <v>46</v>
      </c>
      <c r="E11" s="9" t="s">
        <v>47</v>
      </c>
      <c r="F11" s="9" t="s">
        <v>12</v>
      </c>
      <c r="G11" s="9" t="s">
        <v>48</v>
      </c>
      <c r="H11" s="9" t="s">
        <v>33</v>
      </c>
      <c r="I11" s="9" t="s">
        <v>34</v>
      </c>
      <c r="J11" s="9" t="s">
        <v>41</v>
      </c>
      <c r="K11" s="10" t="s">
        <v>49</v>
      </c>
      <c r="L11" s="11"/>
    </row>
    <row r="12">
      <c r="A12" s="5" t="str">
        <f t="shared" si="1"/>
        <v>神奈川県</v>
      </c>
      <c r="B12" s="6" t="str">
        <f t="shared" si="2"/>
        <v>横須賀市</v>
      </c>
      <c r="C12" s="6" t="str">
        <f t="shared" si="3"/>
        <v>日の出町1-2-7 ノイエヨコスカ1番館</v>
      </c>
      <c r="D12" s="7" t="s">
        <v>50</v>
      </c>
      <c r="E12" s="7" t="s">
        <v>51</v>
      </c>
      <c r="F12" s="7" t="s">
        <v>52</v>
      </c>
      <c r="G12" s="7" t="s">
        <v>53</v>
      </c>
      <c r="H12" s="7" t="s">
        <v>14</v>
      </c>
      <c r="I12" s="7" t="s">
        <v>34</v>
      </c>
      <c r="J12" s="7" t="s">
        <v>35</v>
      </c>
      <c r="K12" s="7" t="s">
        <v>54</v>
      </c>
      <c r="L12" s="8"/>
    </row>
    <row r="13">
      <c r="A13" s="5" t="str">
        <f t="shared" si="1"/>
        <v>神奈川県</v>
      </c>
      <c r="B13" s="6" t="str">
        <f t="shared" si="2"/>
        <v>藤沢市</v>
      </c>
      <c r="C13" s="6" t="str">
        <f t="shared" si="3"/>
        <v>鵠沼花沢町2-2 グレースコート湘南</v>
      </c>
      <c r="D13" s="7" t="s">
        <v>55</v>
      </c>
      <c r="E13" s="7" t="s">
        <v>56</v>
      </c>
      <c r="F13" s="7" t="s">
        <v>26</v>
      </c>
      <c r="G13" s="7" t="s">
        <v>57</v>
      </c>
      <c r="H13" s="7" t="s">
        <v>40</v>
      </c>
      <c r="I13" s="7" t="s">
        <v>34</v>
      </c>
      <c r="J13" s="8"/>
      <c r="K13" s="8"/>
      <c r="L13" s="8"/>
    </row>
    <row r="14">
      <c r="A14" s="5" t="str">
        <f t="shared" si="1"/>
        <v>神奈川県</v>
      </c>
      <c r="B14" s="6" t="str">
        <f t="shared" si="2"/>
        <v>藤沢市</v>
      </c>
      <c r="C14" s="6" t="str">
        <f t="shared" si="3"/>
        <v>藤沢1031-1 日神パレステージ藤沢</v>
      </c>
      <c r="D14" s="7" t="s">
        <v>58</v>
      </c>
      <c r="E14" s="7" t="s">
        <v>59</v>
      </c>
      <c r="F14" s="7" t="s">
        <v>60</v>
      </c>
      <c r="G14" s="7" t="s">
        <v>61</v>
      </c>
      <c r="H14" s="7" t="s">
        <v>14</v>
      </c>
      <c r="I14" s="7" t="s">
        <v>34</v>
      </c>
      <c r="J14" s="8"/>
      <c r="K14" s="8"/>
      <c r="L14" s="8"/>
    </row>
    <row r="15">
      <c r="A15" s="5" t="str">
        <f t="shared" si="1"/>
        <v>神奈川県</v>
      </c>
      <c r="B15" s="6" t="str">
        <f t="shared" si="2"/>
        <v>海老名市</v>
      </c>
      <c r="C15" s="6" t="str">
        <f t="shared" si="3"/>
        <v>中新田3-5-23 シルフィード厚木</v>
      </c>
      <c r="D15" s="7" t="s">
        <v>62</v>
      </c>
      <c r="E15" s="7" t="s">
        <v>63</v>
      </c>
      <c r="F15" s="7" t="s">
        <v>12</v>
      </c>
      <c r="G15" s="7" t="s">
        <v>64</v>
      </c>
      <c r="H15" s="7" t="s">
        <v>33</v>
      </c>
      <c r="I15" s="7" t="s">
        <v>65</v>
      </c>
      <c r="J15" s="7" t="s">
        <v>41</v>
      </c>
      <c r="K15" s="7" t="s">
        <v>66</v>
      </c>
      <c r="L15" s="8"/>
    </row>
    <row r="16">
      <c r="A16" s="5" t="str">
        <f t="shared" si="1"/>
        <v>神奈川県</v>
      </c>
      <c r="B16" s="6" t="str">
        <f t="shared" si="2"/>
        <v>茅ヶ崎市</v>
      </c>
      <c r="C16" s="6" t="str">
        <f t="shared" si="3"/>
        <v>新栄町13-16 茅ヶ崎ダイカンプラザシティ</v>
      </c>
      <c r="D16" s="9" t="s">
        <v>67</v>
      </c>
      <c r="E16" s="9" t="s">
        <v>68</v>
      </c>
      <c r="F16" s="9" t="s">
        <v>12</v>
      </c>
      <c r="G16" s="9" t="s">
        <v>69</v>
      </c>
      <c r="H16" s="9" t="s">
        <v>33</v>
      </c>
      <c r="I16" s="9" t="s">
        <v>34</v>
      </c>
      <c r="J16" s="9" t="s">
        <v>41</v>
      </c>
      <c r="K16" s="10" t="s">
        <v>70</v>
      </c>
      <c r="L16" s="11"/>
    </row>
    <row r="17">
      <c r="A17" s="5" t="str">
        <f t="shared" si="1"/>
        <v>神奈川県</v>
      </c>
      <c r="B17" s="6" t="str">
        <f t="shared" si="2"/>
        <v>海老名市</v>
      </c>
      <c r="C17" s="6" t="str">
        <f t="shared" si="3"/>
        <v>国分南1丁目11-6 フレクション海老名国分</v>
      </c>
      <c r="D17" s="7" t="s">
        <v>71</v>
      </c>
      <c r="E17" s="7" t="s">
        <v>72</v>
      </c>
      <c r="F17" s="7" t="s">
        <v>12</v>
      </c>
      <c r="G17" s="7" t="s">
        <v>73</v>
      </c>
      <c r="H17" s="7" t="s">
        <v>28</v>
      </c>
      <c r="I17" s="7" t="s">
        <v>34</v>
      </c>
      <c r="J17" s="8"/>
      <c r="K17" s="8"/>
      <c r="L17" s="8"/>
    </row>
    <row r="18">
      <c r="A18" s="5" t="str">
        <f t="shared" si="1"/>
        <v>東京都</v>
      </c>
      <c r="B18" s="6" t="str">
        <f t="shared" si="2"/>
        <v>江東区</v>
      </c>
      <c r="C18" s="6" t="str">
        <f t="shared" si="3"/>
        <v>亀戸6-12-7 第2伸光マンション</v>
      </c>
      <c r="D18" s="7" t="s">
        <v>74</v>
      </c>
      <c r="E18" s="7" t="s">
        <v>75</v>
      </c>
      <c r="F18" s="7" t="s">
        <v>76</v>
      </c>
      <c r="G18" s="7" t="s">
        <v>77</v>
      </c>
      <c r="H18" s="7" t="s">
        <v>40</v>
      </c>
      <c r="I18" s="7" t="s">
        <v>65</v>
      </c>
      <c r="J18" s="8"/>
      <c r="K18" s="8"/>
      <c r="L18" s="8"/>
    </row>
    <row r="19">
      <c r="A19" s="5" t="str">
        <f t="shared" si="1"/>
        <v>東京都</v>
      </c>
      <c r="B19" s="6" t="str">
        <f t="shared" si="2"/>
        <v>江戸川区</v>
      </c>
      <c r="C19" s="6" t="str">
        <f t="shared" si="3"/>
        <v>西小岩1丁目30-11 ハイホーム沖田</v>
      </c>
      <c r="D19" s="7" t="s">
        <v>78</v>
      </c>
      <c r="E19" s="7" t="s">
        <v>79</v>
      </c>
      <c r="F19" s="7" t="s">
        <v>60</v>
      </c>
      <c r="G19" s="7" t="s">
        <v>80</v>
      </c>
      <c r="H19" s="7" t="s">
        <v>14</v>
      </c>
      <c r="I19" s="7" t="s">
        <v>34</v>
      </c>
      <c r="J19" s="7" t="s">
        <v>35</v>
      </c>
      <c r="K19" s="7" t="s">
        <v>81</v>
      </c>
      <c r="L19" s="8"/>
    </row>
    <row r="20">
      <c r="A20" s="5" t="str">
        <f t="shared" si="1"/>
        <v>東京都</v>
      </c>
      <c r="B20" s="6" t="str">
        <f t="shared" si="2"/>
        <v>足立区</v>
      </c>
      <c r="C20" s="6" t="str">
        <f t="shared" si="3"/>
        <v>綾瀬3-9-7 VERXEED綾瀬駅前</v>
      </c>
      <c r="D20" s="7" t="s">
        <v>82</v>
      </c>
      <c r="E20" s="7" t="s">
        <v>83</v>
      </c>
      <c r="F20" s="7" t="s">
        <v>31</v>
      </c>
      <c r="G20" s="7" t="s">
        <v>84</v>
      </c>
      <c r="H20" s="7" t="s">
        <v>9</v>
      </c>
      <c r="I20" s="7" t="s">
        <v>65</v>
      </c>
      <c r="J20" s="8"/>
      <c r="K20" s="8"/>
      <c r="L20" s="8"/>
    </row>
    <row r="21">
      <c r="A21" s="5" t="str">
        <f t="shared" si="1"/>
        <v>東京都</v>
      </c>
      <c r="B21" s="6" t="str">
        <f t="shared" si="2"/>
        <v>足立区</v>
      </c>
      <c r="C21" s="6" t="str">
        <f t="shared" si="3"/>
        <v>青井2丁目24-5 コートアオイ</v>
      </c>
      <c r="D21" s="7" t="s">
        <v>85</v>
      </c>
      <c r="E21" s="7" t="s">
        <v>86</v>
      </c>
      <c r="F21" s="7" t="s">
        <v>26</v>
      </c>
      <c r="G21" s="7" t="s">
        <v>87</v>
      </c>
      <c r="H21" s="7" t="s">
        <v>9</v>
      </c>
      <c r="I21" s="7" t="s">
        <v>65</v>
      </c>
      <c r="J21" s="8"/>
      <c r="K21" s="7" t="s">
        <v>88</v>
      </c>
      <c r="L21" s="8"/>
    </row>
    <row r="22">
      <c r="A22" s="5" t="str">
        <f t="shared" si="1"/>
        <v>東京都</v>
      </c>
      <c r="B22" s="6" t="str">
        <f t="shared" si="2"/>
        <v>墨田区</v>
      </c>
      <c r="C22" s="6" t="str">
        <f t="shared" si="3"/>
        <v>錦糸1-6-9 メインステージ錦糸町駅前</v>
      </c>
      <c r="D22" s="7" t="s">
        <v>89</v>
      </c>
      <c r="E22" s="7" t="s">
        <v>90</v>
      </c>
      <c r="F22" s="7" t="s">
        <v>12</v>
      </c>
      <c r="G22" s="7" t="s">
        <v>91</v>
      </c>
      <c r="H22" s="7" t="s">
        <v>14</v>
      </c>
      <c r="I22" s="7" t="s">
        <v>34</v>
      </c>
      <c r="J22" s="7" t="s">
        <v>35</v>
      </c>
      <c r="K22" s="7" t="s">
        <v>92</v>
      </c>
      <c r="L22" s="8"/>
    </row>
    <row r="23">
      <c r="A23" s="5" t="str">
        <f t="shared" si="1"/>
        <v>東京都</v>
      </c>
      <c r="B23" s="6" t="str">
        <f t="shared" si="2"/>
        <v>豊島区</v>
      </c>
      <c r="C23" s="6" t="str">
        <f t="shared" si="3"/>
        <v>池袋本町1丁目34-5 北池ハイツ</v>
      </c>
      <c r="D23" s="7" t="s">
        <v>93</v>
      </c>
      <c r="E23" s="7" t="s">
        <v>94</v>
      </c>
      <c r="F23" s="7" t="s">
        <v>26</v>
      </c>
      <c r="G23" s="7" t="s">
        <v>95</v>
      </c>
      <c r="H23" s="7" t="s">
        <v>14</v>
      </c>
      <c r="I23" s="7" t="s">
        <v>65</v>
      </c>
      <c r="J23" s="8"/>
      <c r="K23" s="7" t="s">
        <v>96</v>
      </c>
      <c r="L23" s="8"/>
    </row>
    <row r="24">
      <c r="A24" s="5" t="str">
        <f t="shared" si="1"/>
        <v>東京都</v>
      </c>
      <c r="B24" s="6" t="str">
        <f t="shared" si="2"/>
        <v>豊島区</v>
      </c>
      <c r="C24" s="6" t="str">
        <f t="shared" si="3"/>
        <v>駒込2-4-2ペニンシュラ・コマゴメ</v>
      </c>
      <c r="D24" s="7" t="s">
        <v>97</v>
      </c>
      <c r="E24" s="7" t="s">
        <v>98</v>
      </c>
      <c r="F24" s="7" t="s">
        <v>99</v>
      </c>
      <c r="G24" s="7" t="s">
        <v>100</v>
      </c>
      <c r="H24" s="7" t="s">
        <v>28</v>
      </c>
      <c r="I24" s="8"/>
      <c r="J24" s="8"/>
      <c r="K24" s="7" t="s">
        <v>101</v>
      </c>
      <c r="L24" s="8"/>
    </row>
    <row r="25">
      <c r="A25" s="5" t="str">
        <f t="shared" si="1"/>
        <v>東京都</v>
      </c>
      <c r="B25" s="6" t="str">
        <f t="shared" si="2"/>
        <v>板橋区</v>
      </c>
      <c r="C25" s="6" t="str">
        <f t="shared" si="3"/>
        <v>板橋1丁目50-7 グランヴァンXEBEC板橋</v>
      </c>
      <c r="D25" s="7" t="s">
        <v>102</v>
      </c>
      <c r="E25" s="7" t="s">
        <v>103</v>
      </c>
      <c r="F25" s="7" t="s">
        <v>26</v>
      </c>
      <c r="G25" s="7" t="s">
        <v>104</v>
      </c>
      <c r="H25" s="7" t="s">
        <v>40</v>
      </c>
      <c r="I25" s="7" t="s">
        <v>65</v>
      </c>
      <c r="J25" s="7" t="s">
        <v>41</v>
      </c>
      <c r="K25" s="8"/>
      <c r="L25" s="8"/>
    </row>
    <row r="26">
      <c r="A26" s="5" t="str">
        <f t="shared" si="1"/>
        <v>東京都</v>
      </c>
      <c r="B26" s="6" t="str">
        <f t="shared" si="2"/>
        <v>大田区</v>
      </c>
      <c r="C26" s="6" t="str">
        <f t="shared" si="3"/>
        <v>西蒲田7-29-5 ニューカマタビル</v>
      </c>
      <c r="D26" s="7" t="s">
        <v>105</v>
      </c>
      <c r="E26" s="7" t="s">
        <v>106</v>
      </c>
      <c r="F26" s="7" t="s">
        <v>12</v>
      </c>
      <c r="G26" s="7" t="s">
        <v>107</v>
      </c>
      <c r="H26" s="7" t="s">
        <v>33</v>
      </c>
      <c r="I26" s="7" t="s">
        <v>34</v>
      </c>
      <c r="J26" s="7" t="s">
        <v>35</v>
      </c>
      <c r="K26" s="7" t="s">
        <v>108</v>
      </c>
      <c r="L26" s="8"/>
    </row>
    <row r="27">
      <c r="A27" s="5" t="str">
        <f t="shared" si="1"/>
        <v>東京都</v>
      </c>
      <c r="B27" s="6" t="str">
        <f t="shared" si="2"/>
        <v>大田区</v>
      </c>
      <c r="C27" s="6" t="str">
        <f t="shared" si="3"/>
        <v>西蒲田7-7-1 グレイス蒲田</v>
      </c>
      <c r="D27" s="7" t="s">
        <v>109</v>
      </c>
      <c r="E27" s="7" t="s">
        <v>110</v>
      </c>
      <c r="F27" s="7" t="s">
        <v>31</v>
      </c>
      <c r="G27" s="7" t="s">
        <v>111</v>
      </c>
      <c r="H27" s="7" t="s">
        <v>33</v>
      </c>
      <c r="I27" s="7" t="s">
        <v>34</v>
      </c>
      <c r="J27" s="7" t="s">
        <v>41</v>
      </c>
      <c r="K27" s="12" t="s">
        <v>112</v>
      </c>
      <c r="L27" s="11"/>
    </row>
    <row r="28">
      <c r="A28" s="5" t="str">
        <f t="shared" si="1"/>
        <v>東京都</v>
      </c>
      <c r="B28" s="6" t="str">
        <f t="shared" si="2"/>
        <v>千代田区</v>
      </c>
      <c r="C28" s="6" t="str">
        <f t="shared" si="3"/>
        <v>神田小川町1丁目6-2 古室ビル</v>
      </c>
      <c r="D28" s="7" t="s">
        <v>113</v>
      </c>
      <c r="E28" s="7" t="s">
        <v>114</v>
      </c>
      <c r="F28" s="7" t="s">
        <v>12</v>
      </c>
      <c r="G28" s="7" t="s">
        <v>115</v>
      </c>
      <c r="H28" s="7" t="s">
        <v>14</v>
      </c>
      <c r="I28" s="7" t="s">
        <v>34</v>
      </c>
      <c r="J28" s="8"/>
      <c r="K28" s="7" t="s">
        <v>116</v>
      </c>
      <c r="L28" s="8"/>
    </row>
    <row r="29">
      <c r="A29" s="5" t="str">
        <f t="shared" si="1"/>
        <v>東京都</v>
      </c>
      <c r="B29" s="6" t="str">
        <f t="shared" si="2"/>
        <v>杉並区</v>
      </c>
      <c r="C29" s="6" t="str">
        <f t="shared" si="3"/>
        <v>上荻1-15-13 柴ビル</v>
      </c>
      <c r="D29" s="7" t="s">
        <v>117</v>
      </c>
      <c r="E29" s="7" t="s">
        <v>118</v>
      </c>
      <c r="F29" s="7" t="s">
        <v>26</v>
      </c>
      <c r="G29" s="7" t="s">
        <v>119</v>
      </c>
      <c r="H29" s="7" t="s">
        <v>40</v>
      </c>
      <c r="I29" s="7" t="s">
        <v>34</v>
      </c>
      <c r="J29" s="8"/>
      <c r="K29" s="7" t="s">
        <v>116</v>
      </c>
      <c r="L29" s="8"/>
    </row>
    <row r="30">
      <c r="A30" s="5" t="str">
        <f t="shared" si="1"/>
        <v>東京都</v>
      </c>
      <c r="B30" s="6" t="str">
        <f t="shared" si="2"/>
        <v>杉並区</v>
      </c>
      <c r="C30" s="6" t="str">
        <f t="shared" si="3"/>
        <v>上荻1丁目11-5 ロゼリウス荻窪</v>
      </c>
      <c r="D30" s="7" t="s">
        <v>120</v>
      </c>
      <c r="E30" s="7" t="s">
        <v>121</v>
      </c>
      <c r="F30" s="7" t="s">
        <v>26</v>
      </c>
      <c r="G30" s="7" t="s">
        <v>122</v>
      </c>
      <c r="H30" s="7" t="s">
        <v>33</v>
      </c>
      <c r="I30" s="7" t="s">
        <v>65</v>
      </c>
      <c r="J30" s="7" t="s">
        <v>41</v>
      </c>
      <c r="K30" s="7" t="s">
        <v>96</v>
      </c>
      <c r="L30" s="8"/>
    </row>
    <row r="31">
      <c r="A31" s="5" t="str">
        <f t="shared" si="1"/>
        <v>東京都</v>
      </c>
      <c r="B31" s="6" t="str">
        <f t="shared" si="2"/>
        <v>渋谷区</v>
      </c>
      <c r="C31" s="6" t="str">
        <f t="shared" si="3"/>
        <v>笹塚2丁目14-15 ウェルト笹塚ツイン1</v>
      </c>
      <c r="D31" s="7" t="s">
        <v>123</v>
      </c>
      <c r="E31" s="7" t="s">
        <v>124</v>
      </c>
      <c r="F31" s="7" t="s">
        <v>26</v>
      </c>
      <c r="G31" s="7" t="s">
        <v>125</v>
      </c>
      <c r="H31" s="7" t="s">
        <v>33</v>
      </c>
      <c r="I31" s="7" t="s">
        <v>34</v>
      </c>
      <c r="J31" s="7" t="s">
        <v>41</v>
      </c>
      <c r="K31" s="8"/>
      <c r="L31" s="8"/>
    </row>
    <row r="32">
      <c r="A32" s="5" t="str">
        <f t="shared" si="1"/>
        <v>東京都</v>
      </c>
      <c r="B32" s="6" t="str">
        <f t="shared" si="2"/>
        <v>渋谷区</v>
      </c>
      <c r="C32" s="6" t="str">
        <f t="shared" si="3"/>
        <v>宇田川町36-2 ノア渋谷</v>
      </c>
      <c r="D32" s="7" t="s">
        <v>126</v>
      </c>
      <c r="E32" s="7" t="s">
        <v>127</v>
      </c>
      <c r="F32" s="7" t="s">
        <v>26</v>
      </c>
      <c r="G32" s="7" t="s">
        <v>128</v>
      </c>
      <c r="H32" s="7" t="s">
        <v>129</v>
      </c>
      <c r="I32" s="7" t="s">
        <v>34</v>
      </c>
      <c r="J32" s="7" t="s">
        <v>41</v>
      </c>
      <c r="K32" s="7" t="s">
        <v>130</v>
      </c>
      <c r="L32" s="8"/>
    </row>
    <row r="33">
      <c r="A33" s="5" t="str">
        <f t="shared" si="1"/>
        <v>東京都</v>
      </c>
      <c r="B33" s="6" t="str">
        <f t="shared" si="2"/>
        <v>世田谷区</v>
      </c>
      <c r="C33" s="6" t="str">
        <f t="shared" si="3"/>
        <v>野沢2丁目34-5 Aden駒沢大学</v>
      </c>
      <c r="D33" s="7" t="s">
        <v>131</v>
      </c>
      <c r="E33" s="7" t="s">
        <v>132</v>
      </c>
      <c r="F33" s="7" t="s">
        <v>26</v>
      </c>
      <c r="G33" s="7" t="s">
        <v>133</v>
      </c>
      <c r="H33" s="7" t="s">
        <v>14</v>
      </c>
      <c r="I33" s="7" t="s">
        <v>65</v>
      </c>
      <c r="J33" s="8"/>
      <c r="K33" s="7" t="s">
        <v>96</v>
      </c>
      <c r="L33" s="8"/>
    </row>
    <row r="34">
      <c r="A34" s="5" t="str">
        <f t="shared" si="1"/>
        <v>東京都</v>
      </c>
      <c r="B34" s="6" t="str">
        <f t="shared" si="2"/>
        <v>立川市</v>
      </c>
      <c r="C34" s="6" t="str">
        <f t="shared" si="3"/>
        <v>曙町1丁目36-9 多摩セントラルビル</v>
      </c>
      <c r="D34" s="7" t="s">
        <v>134</v>
      </c>
      <c r="E34" s="7" t="s">
        <v>135</v>
      </c>
      <c r="F34" s="7" t="s">
        <v>76</v>
      </c>
      <c r="G34" s="7" t="s">
        <v>136</v>
      </c>
      <c r="H34" s="7" t="s">
        <v>33</v>
      </c>
      <c r="I34" s="7" t="s">
        <v>34</v>
      </c>
      <c r="J34" s="7" t="s">
        <v>35</v>
      </c>
      <c r="K34" s="8"/>
      <c r="L34" s="8"/>
    </row>
    <row r="35">
      <c r="A35" s="5" t="str">
        <f t="shared" si="1"/>
        <v>東京都</v>
      </c>
      <c r="B35" s="6" t="str">
        <f t="shared" si="2"/>
        <v>立川市</v>
      </c>
      <c r="C35" s="6" t="str">
        <f t="shared" si="3"/>
        <v>錦町1-5-25 コーポあきば</v>
      </c>
      <c r="D35" s="7" t="s">
        <v>137</v>
      </c>
      <c r="E35" s="7" t="s">
        <v>138</v>
      </c>
      <c r="F35" s="7" t="s">
        <v>26</v>
      </c>
      <c r="G35" s="7" t="s">
        <v>139</v>
      </c>
      <c r="H35" s="7" t="s">
        <v>33</v>
      </c>
      <c r="I35" s="7" t="s">
        <v>34</v>
      </c>
      <c r="J35" s="7" t="s">
        <v>41</v>
      </c>
      <c r="K35" s="7" t="s">
        <v>140</v>
      </c>
      <c r="L35" s="8"/>
    </row>
    <row r="36">
      <c r="A36" s="5" t="str">
        <f t="shared" si="1"/>
        <v>東京都</v>
      </c>
      <c r="B36" s="6" t="str">
        <f t="shared" si="2"/>
        <v>府中市</v>
      </c>
      <c r="C36" s="6" t="str">
        <f t="shared" si="3"/>
        <v>府中町2-5-7 ステーションビューロアール府中</v>
      </c>
      <c r="D36" s="7" t="s">
        <v>141</v>
      </c>
      <c r="E36" s="7" t="s">
        <v>142</v>
      </c>
      <c r="F36" s="7" t="s">
        <v>12</v>
      </c>
      <c r="G36" s="7" t="s">
        <v>143</v>
      </c>
      <c r="H36" s="7" t="s">
        <v>33</v>
      </c>
      <c r="I36" s="7" t="s">
        <v>34</v>
      </c>
      <c r="J36" s="7" t="s">
        <v>35</v>
      </c>
      <c r="K36" s="8"/>
      <c r="L36" s="8"/>
    </row>
    <row r="37">
      <c r="A37" s="5" t="str">
        <f t="shared" si="1"/>
        <v>東京都</v>
      </c>
      <c r="B37" s="6" t="str">
        <f t="shared" si="2"/>
        <v>町田市</v>
      </c>
      <c r="C37" s="6" t="str">
        <f t="shared" si="3"/>
        <v>原町田6-16-7 アーバイルトルム町田</v>
      </c>
      <c r="D37" s="7" t="s">
        <v>144</v>
      </c>
      <c r="E37" s="7" t="s">
        <v>145</v>
      </c>
      <c r="F37" s="7" t="s">
        <v>26</v>
      </c>
      <c r="G37" s="7" t="s">
        <v>146</v>
      </c>
      <c r="H37" s="7" t="s">
        <v>33</v>
      </c>
      <c r="I37" s="7" t="s">
        <v>34</v>
      </c>
      <c r="J37" s="7" t="s">
        <v>41</v>
      </c>
      <c r="K37" s="7" t="s">
        <v>147</v>
      </c>
      <c r="L37" s="8"/>
    </row>
    <row r="38">
      <c r="A38" s="5" t="str">
        <f t="shared" si="1"/>
        <v>東京都</v>
      </c>
      <c r="B38" s="6" t="str">
        <f t="shared" si="2"/>
        <v>町田市</v>
      </c>
      <c r="C38" s="6" t="str">
        <f t="shared" si="3"/>
        <v>原町田6丁目16-7 アーバイルトルム町田</v>
      </c>
      <c r="D38" s="7" t="s">
        <v>148</v>
      </c>
      <c r="E38" s="7" t="s">
        <v>149</v>
      </c>
      <c r="F38" s="7" t="s">
        <v>12</v>
      </c>
      <c r="G38" s="7" t="s">
        <v>150</v>
      </c>
      <c r="H38" s="7" t="s">
        <v>33</v>
      </c>
      <c r="I38" s="7" t="s">
        <v>34</v>
      </c>
      <c r="J38" s="7" t="s">
        <v>41</v>
      </c>
      <c r="K38" s="7" t="s">
        <v>147</v>
      </c>
      <c r="L38" s="8"/>
    </row>
    <row r="39">
      <c r="A39" s="5" t="str">
        <f t="shared" si="1"/>
        <v>東京都</v>
      </c>
      <c r="B39" s="6" t="str">
        <f t="shared" si="2"/>
        <v>町田市</v>
      </c>
      <c r="C39" s="6" t="str">
        <f t="shared" si="3"/>
        <v>原町田6-26-3 ジョイフル町田</v>
      </c>
      <c r="D39" s="7" t="s">
        <v>151</v>
      </c>
      <c r="E39" s="7" t="s">
        <v>152</v>
      </c>
      <c r="F39" s="7" t="s">
        <v>12</v>
      </c>
      <c r="G39" s="7" t="s">
        <v>153</v>
      </c>
      <c r="H39" s="7" t="s">
        <v>33</v>
      </c>
      <c r="I39" s="7" t="s">
        <v>34</v>
      </c>
      <c r="J39" s="7" t="s">
        <v>41</v>
      </c>
      <c r="K39" s="7" t="s">
        <v>147</v>
      </c>
      <c r="L39" s="8"/>
    </row>
    <row r="40">
      <c r="A40" s="5" t="str">
        <f t="shared" si="1"/>
        <v>東京都</v>
      </c>
      <c r="B40" s="6" t="str">
        <f t="shared" si="2"/>
        <v>東村</v>
      </c>
      <c r="C40" s="6" t="str">
        <f t="shared" si="3"/>
        <v>山市栄町2-2-10 Tokio久米川タワー</v>
      </c>
      <c r="D40" s="7" t="s">
        <v>154</v>
      </c>
      <c r="E40" s="7" t="s">
        <v>155</v>
      </c>
      <c r="F40" s="7" t="s">
        <v>31</v>
      </c>
      <c r="G40" s="7" t="s">
        <v>156</v>
      </c>
      <c r="H40" s="7" t="s">
        <v>33</v>
      </c>
      <c r="I40" s="7" t="s">
        <v>34</v>
      </c>
      <c r="J40" s="7" t="s">
        <v>35</v>
      </c>
      <c r="K40" s="7" t="s">
        <v>36</v>
      </c>
      <c r="L40" s="8"/>
    </row>
    <row r="41">
      <c r="A41" s="5" t="str">
        <f t="shared" si="1"/>
        <v>東京都</v>
      </c>
      <c r="B41" s="6" t="str">
        <f t="shared" si="2"/>
        <v>武蔵野市</v>
      </c>
      <c r="C41" s="6" t="str">
        <f t="shared" si="3"/>
        <v>吉祥寺本町2-24-6 吉祥寺グリーンハイツ</v>
      </c>
      <c r="D41" s="7" t="s">
        <v>157</v>
      </c>
      <c r="E41" s="7" t="s">
        <v>158</v>
      </c>
      <c r="F41" s="7" t="s">
        <v>26</v>
      </c>
      <c r="G41" s="7" t="s">
        <v>159</v>
      </c>
      <c r="H41" s="7" t="s">
        <v>40</v>
      </c>
      <c r="I41" s="7" t="s">
        <v>34</v>
      </c>
      <c r="J41" s="8"/>
      <c r="K41" s="8"/>
      <c r="L41" s="8"/>
    </row>
    <row r="42">
      <c r="A42" s="5" t="str">
        <f t="shared" si="1"/>
        <v>東京都</v>
      </c>
      <c r="B42" s="6" t="str">
        <f t="shared" si="2"/>
        <v>小金井市</v>
      </c>
      <c r="C42" s="6" t="str">
        <f t="shared" si="3"/>
        <v>東町1-40-11 ロイヤルハイツハシモト</v>
      </c>
      <c r="D42" s="7" t="s">
        <v>160</v>
      </c>
      <c r="E42" s="7" t="s">
        <v>161</v>
      </c>
      <c r="F42" s="7" t="s">
        <v>52</v>
      </c>
      <c r="G42" s="7" t="s">
        <v>162</v>
      </c>
      <c r="H42" s="7" t="s">
        <v>129</v>
      </c>
      <c r="I42" s="7" t="s">
        <v>34</v>
      </c>
      <c r="J42" s="7" t="s">
        <v>41</v>
      </c>
      <c r="K42" s="7" t="s">
        <v>163</v>
      </c>
      <c r="L42" s="8"/>
    </row>
    <row r="43">
      <c r="A43" s="5" t="str">
        <f t="shared" si="1"/>
        <v>東京都</v>
      </c>
      <c r="B43" s="6" t="str">
        <f t="shared" si="2"/>
        <v>西東京市</v>
      </c>
      <c r="C43" s="6" t="str">
        <f t="shared" si="3"/>
        <v>田無町2丁目12-11 ハイツベルスプリング</v>
      </c>
      <c r="D43" s="7" t="s">
        <v>164</v>
      </c>
      <c r="E43" s="7" t="s">
        <v>165</v>
      </c>
      <c r="F43" s="7" t="s">
        <v>26</v>
      </c>
      <c r="G43" s="7" t="s">
        <v>166</v>
      </c>
      <c r="H43" s="7" t="s">
        <v>33</v>
      </c>
      <c r="I43" s="7" t="s">
        <v>34</v>
      </c>
      <c r="J43" s="7" t="s">
        <v>41</v>
      </c>
      <c r="K43" s="8"/>
      <c r="L43" s="8"/>
    </row>
    <row r="44">
      <c r="A44" s="5" t="str">
        <f t="shared" si="1"/>
        <v>千葉県</v>
      </c>
      <c r="B44" s="6" t="str">
        <f t="shared" si="2"/>
        <v>柏市</v>
      </c>
      <c r="C44" s="6" t="str">
        <f t="shared" si="3"/>
        <v>柏6-2-7 コートヤード・シブヤ</v>
      </c>
      <c r="D44" s="7" t="s">
        <v>167</v>
      </c>
      <c r="E44" s="7" t="s">
        <v>168</v>
      </c>
      <c r="F44" s="7" t="s">
        <v>12</v>
      </c>
      <c r="G44" s="7" t="s">
        <v>169</v>
      </c>
      <c r="H44" s="7" t="s">
        <v>14</v>
      </c>
      <c r="I44" s="7" t="s">
        <v>34</v>
      </c>
      <c r="J44" s="7" t="s">
        <v>35</v>
      </c>
      <c r="K44" s="8"/>
      <c r="L44" s="8"/>
    </row>
    <row r="45">
      <c r="A45" s="5" t="str">
        <f t="shared" si="1"/>
        <v>千葉県</v>
      </c>
      <c r="B45" s="6" t="str">
        <f t="shared" si="2"/>
        <v>柏市</v>
      </c>
      <c r="C45" s="6" t="str">
        <f t="shared" si="3"/>
        <v>根戸1914-12 エソール・柏</v>
      </c>
      <c r="D45" s="7" t="s">
        <v>170</v>
      </c>
      <c r="E45" s="7" t="s">
        <v>171</v>
      </c>
      <c r="F45" s="7" t="s">
        <v>12</v>
      </c>
      <c r="G45" s="7" t="s">
        <v>172</v>
      </c>
      <c r="H45" s="7" t="s">
        <v>129</v>
      </c>
      <c r="I45" s="7" t="s">
        <v>65</v>
      </c>
      <c r="J45" s="7" t="s">
        <v>41</v>
      </c>
      <c r="K45" s="8"/>
      <c r="L45" s="8"/>
    </row>
    <row r="46">
      <c r="A46" s="5" t="str">
        <f t="shared" si="1"/>
        <v>千葉県</v>
      </c>
      <c r="B46" s="6" t="str">
        <f t="shared" si="2"/>
        <v>中央区</v>
      </c>
      <c r="C46" s="6" t="str">
        <f t="shared" si="3"/>
        <v>新宿2-14-16 パ―クプラザ千葉新宿</v>
      </c>
      <c r="D46" s="7" t="s">
        <v>173</v>
      </c>
      <c r="E46" s="7" t="s">
        <v>174</v>
      </c>
      <c r="F46" s="7" t="s">
        <v>175</v>
      </c>
      <c r="G46" s="7" t="s">
        <v>176</v>
      </c>
      <c r="H46" s="7" t="s">
        <v>33</v>
      </c>
      <c r="I46" s="7" t="s">
        <v>34</v>
      </c>
      <c r="J46" s="7" t="s">
        <v>35</v>
      </c>
      <c r="K46" s="7" t="s">
        <v>108</v>
      </c>
      <c r="L46" s="8"/>
    </row>
    <row r="47">
      <c r="A47" s="5" t="str">
        <f t="shared" si="1"/>
        <v>千葉県</v>
      </c>
      <c r="B47" s="6" t="str">
        <f t="shared" si="2"/>
        <v>中央区</v>
      </c>
      <c r="C47" s="6" t="str">
        <f t="shared" si="3"/>
        <v>南町2-18-16 カリンビル</v>
      </c>
      <c r="D47" s="7" t="s">
        <v>177</v>
      </c>
      <c r="E47" s="7" t="s">
        <v>178</v>
      </c>
      <c r="F47" s="7" t="s">
        <v>179</v>
      </c>
      <c r="G47" s="7" t="s">
        <v>180</v>
      </c>
      <c r="H47" s="7" t="s">
        <v>14</v>
      </c>
      <c r="I47" s="7" t="s">
        <v>65</v>
      </c>
      <c r="J47" s="7" t="s">
        <v>35</v>
      </c>
      <c r="K47" s="8"/>
      <c r="L47" s="8"/>
    </row>
    <row r="48">
      <c r="A48" s="5" t="str">
        <f t="shared" si="1"/>
        <v>千葉県</v>
      </c>
      <c r="B48" s="6" t="str">
        <f t="shared" si="2"/>
        <v>船橋市</v>
      </c>
      <c r="C48" s="6" t="str">
        <f t="shared" si="3"/>
        <v>印内町612 プルミエール西船</v>
      </c>
      <c r="D48" s="7" t="s">
        <v>181</v>
      </c>
      <c r="E48" s="7" t="s">
        <v>182</v>
      </c>
      <c r="F48" s="7" t="s">
        <v>7</v>
      </c>
      <c r="G48" s="7" t="s">
        <v>183</v>
      </c>
      <c r="H48" s="7" t="s">
        <v>33</v>
      </c>
      <c r="I48" s="7" t="s">
        <v>34</v>
      </c>
      <c r="J48" s="7" t="s">
        <v>35</v>
      </c>
      <c r="K48" s="7" t="s">
        <v>108</v>
      </c>
      <c r="L48" s="8"/>
    </row>
    <row r="49">
      <c r="A49" s="5" t="str">
        <f t="shared" si="1"/>
        <v>千葉県</v>
      </c>
      <c r="B49" s="6" t="str">
        <f t="shared" si="2"/>
        <v>船橋市</v>
      </c>
      <c r="C49" s="6" t="str">
        <f t="shared" si="3"/>
        <v>印内町570-1 鎌倉ビル</v>
      </c>
      <c r="D49" s="7" t="s">
        <v>184</v>
      </c>
      <c r="E49" s="7" t="s">
        <v>185</v>
      </c>
      <c r="F49" s="7" t="s">
        <v>26</v>
      </c>
      <c r="G49" s="7" t="s">
        <v>186</v>
      </c>
      <c r="H49" s="7" t="s">
        <v>33</v>
      </c>
      <c r="I49" s="7" t="s">
        <v>34</v>
      </c>
      <c r="J49" s="8"/>
      <c r="K49" s="7" t="s">
        <v>187</v>
      </c>
      <c r="L49" s="8"/>
    </row>
    <row r="50">
      <c r="A50" s="5" t="str">
        <f t="shared" si="1"/>
        <v>千葉県</v>
      </c>
      <c r="B50" s="6" t="str">
        <f t="shared" si="2"/>
        <v>船橋市</v>
      </c>
      <c r="C50" s="6" t="str">
        <f t="shared" si="3"/>
        <v>本町6-9-6 ラプラビ船橋</v>
      </c>
      <c r="D50" s="7" t="s">
        <v>188</v>
      </c>
      <c r="E50" s="7" t="s">
        <v>189</v>
      </c>
      <c r="F50" s="7" t="s">
        <v>190</v>
      </c>
      <c r="G50" s="7" t="s">
        <v>191</v>
      </c>
      <c r="H50" s="7" t="s">
        <v>40</v>
      </c>
      <c r="I50" s="8"/>
      <c r="J50" s="8"/>
      <c r="K50" s="7" t="s">
        <v>192</v>
      </c>
      <c r="L50" s="8"/>
    </row>
    <row r="51">
      <c r="A51" s="5" t="str">
        <f t="shared" si="1"/>
        <v>千葉県</v>
      </c>
      <c r="B51" s="6" t="str">
        <f t="shared" si="2"/>
        <v>船橋市</v>
      </c>
      <c r="C51" s="6" t="str">
        <f t="shared" si="3"/>
        <v>本町6-3-10 グリーンシティーときた</v>
      </c>
      <c r="D51" s="7" t="s">
        <v>193</v>
      </c>
      <c r="E51" s="7" t="s">
        <v>194</v>
      </c>
      <c r="F51" s="7" t="s">
        <v>7</v>
      </c>
      <c r="G51" s="7" t="s">
        <v>195</v>
      </c>
      <c r="H51" s="7" t="s">
        <v>33</v>
      </c>
      <c r="I51" s="8"/>
      <c r="J51" s="8"/>
      <c r="K51" s="8"/>
      <c r="L51" s="8"/>
    </row>
    <row r="52">
      <c r="A52" s="5" t="str">
        <f t="shared" si="1"/>
        <v>千葉県</v>
      </c>
      <c r="B52" s="6" t="str">
        <f t="shared" si="2"/>
        <v>習志野市</v>
      </c>
      <c r="C52" s="6" t="str">
        <f t="shared" si="3"/>
        <v>谷津7丁目7-22 スーペリア津田沼</v>
      </c>
      <c r="D52" s="7" t="s">
        <v>196</v>
      </c>
      <c r="E52" s="7" t="s">
        <v>197</v>
      </c>
      <c r="F52" s="7" t="s">
        <v>12</v>
      </c>
      <c r="G52" s="7" t="s">
        <v>198</v>
      </c>
      <c r="H52" s="7" t="s">
        <v>33</v>
      </c>
      <c r="I52" s="7" t="s">
        <v>65</v>
      </c>
      <c r="J52" s="7" t="s">
        <v>41</v>
      </c>
      <c r="K52" s="7" t="s">
        <v>66</v>
      </c>
      <c r="L52" s="8"/>
    </row>
    <row r="53">
      <c r="A53" s="5" t="str">
        <f t="shared" si="1"/>
        <v>千葉県</v>
      </c>
      <c r="B53" s="6" t="str">
        <f t="shared" si="2"/>
        <v>八千代市</v>
      </c>
      <c r="C53" s="6" t="str">
        <f t="shared" si="3"/>
        <v>勝田台1丁目30 京成サンコーポ勝田台C棟 3番階段</v>
      </c>
      <c r="D53" s="7" t="s">
        <v>199</v>
      </c>
      <c r="E53" s="7" t="s">
        <v>200</v>
      </c>
      <c r="F53" s="7" t="s">
        <v>12</v>
      </c>
      <c r="G53" s="7" t="s">
        <v>201</v>
      </c>
      <c r="H53" s="7" t="s">
        <v>28</v>
      </c>
      <c r="I53" s="7" t="s">
        <v>34</v>
      </c>
      <c r="J53" s="8"/>
      <c r="K53" s="8"/>
      <c r="L53" s="8"/>
    </row>
    <row r="54">
      <c r="A54" s="5" t="str">
        <f t="shared" si="1"/>
        <v>千葉県</v>
      </c>
      <c r="B54" s="6" t="str">
        <f t="shared" si="2"/>
        <v>八千代市</v>
      </c>
      <c r="C54" s="6" t="str">
        <f t="shared" si="3"/>
        <v>勝田台北1-19-43 玄気道ビル第七</v>
      </c>
      <c r="D54" s="7" t="s">
        <v>202</v>
      </c>
      <c r="E54" s="7" t="s">
        <v>203</v>
      </c>
      <c r="F54" s="7" t="s">
        <v>26</v>
      </c>
      <c r="G54" s="7" t="s">
        <v>204</v>
      </c>
      <c r="H54" s="7" t="s">
        <v>33</v>
      </c>
      <c r="I54" s="7" t="s">
        <v>34</v>
      </c>
      <c r="J54" s="7" t="s">
        <v>35</v>
      </c>
      <c r="K54" s="7" t="s">
        <v>205</v>
      </c>
      <c r="L54" s="8"/>
    </row>
    <row r="55">
      <c r="A55" s="5" t="str">
        <f t="shared" si="1"/>
        <v>千葉県</v>
      </c>
      <c r="B55" s="6" t="str">
        <f t="shared" si="2"/>
        <v>八千代市</v>
      </c>
      <c r="C55" s="6" t="str">
        <f t="shared" si="3"/>
        <v>勝田台1丁目30 京成サンコーポ勝田台C棟</v>
      </c>
      <c r="D55" s="7" t="s">
        <v>206</v>
      </c>
      <c r="E55" s="7" t="s">
        <v>207</v>
      </c>
      <c r="F55" s="7" t="s">
        <v>76</v>
      </c>
      <c r="G55" s="7" t="s">
        <v>208</v>
      </c>
      <c r="H55" s="7" t="s">
        <v>40</v>
      </c>
      <c r="I55" s="7" t="s">
        <v>65</v>
      </c>
      <c r="J55" s="7" t="s">
        <v>41</v>
      </c>
      <c r="K55" s="8"/>
      <c r="L55" s="8"/>
    </row>
    <row r="56">
      <c r="A56" s="5" t="str">
        <f t="shared" si="1"/>
        <v>千葉県</v>
      </c>
      <c r="B56" s="6" t="str">
        <f t="shared" si="2"/>
        <v>市川市</v>
      </c>
      <c r="C56" s="6" t="str">
        <f t="shared" si="3"/>
        <v>南八幡4-4-20 市川ルーフガーデンハイツ</v>
      </c>
      <c r="D56" s="7" t="s">
        <v>209</v>
      </c>
      <c r="E56" s="7" t="s">
        <v>210</v>
      </c>
      <c r="F56" s="7" t="s">
        <v>12</v>
      </c>
      <c r="G56" s="7" t="s">
        <v>211</v>
      </c>
      <c r="H56" s="7" t="s">
        <v>33</v>
      </c>
      <c r="I56" s="7" t="s">
        <v>34</v>
      </c>
      <c r="J56" s="7" t="s">
        <v>35</v>
      </c>
      <c r="K56" s="7" t="s">
        <v>108</v>
      </c>
      <c r="L56" s="8"/>
    </row>
    <row r="57">
      <c r="A57" s="5" t="str">
        <f t="shared" si="1"/>
        <v>千葉県</v>
      </c>
      <c r="B57" s="6" t="str">
        <f t="shared" si="2"/>
        <v>市川市</v>
      </c>
      <c r="C57" s="6" t="str">
        <f t="shared" si="3"/>
        <v>行徳駅前2-7-1 遠藤ビル</v>
      </c>
      <c r="D57" s="7" t="s">
        <v>212</v>
      </c>
      <c r="E57" s="7" t="s">
        <v>213</v>
      </c>
      <c r="F57" s="7" t="s">
        <v>214</v>
      </c>
      <c r="G57" s="7" t="s">
        <v>215</v>
      </c>
      <c r="H57" s="7" t="s">
        <v>33</v>
      </c>
      <c r="I57" s="7" t="s">
        <v>34</v>
      </c>
      <c r="J57" s="7" t="s">
        <v>35</v>
      </c>
      <c r="K57" s="7" t="s">
        <v>108</v>
      </c>
      <c r="L57" s="8"/>
    </row>
    <row r="58">
      <c r="A58" s="5" t="str">
        <f t="shared" si="1"/>
        <v>千葉県</v>
      </c>
      <c r="B58" s="6" t="str">
        <f t="shared" si="2"/>
        <v>佐倉市</v>
      </c>
      <c r="C58" s="6" t="str">
        <f t="shared" si="3"/>
        <v>新町187-2 キャピタル一番館</v>
      </c>
      <c r="D58" s="7" t="s">
        <v>216</v>
      </c>
      <c r="E58" s="7" t="s">
        <v>217</v>
      </c>
      <c r="F58" s="7" t="s">
        <v>12</v>
      </c>
      <c r="G58" s="7" t="s">
        <v>218</v>
      </c>
      <c r="H58" s="7" t="s">
        <v>129</v>
      </c>
      <c r="I58" s="7" t="s">
        <v>34</v>
      </c>
      <c r="J58" s="8"/>
      <c r="K58" s="7" t="s">
        <v>219</v>
      </c>
      <c r="L58" s="8"/>
    </row>
    <row r="59">
      <c r="A59" s="5" t="str">
        <f t="shared" si="1"/>
        <v>埼玉県</v>
      </c>
      <c r="B59" s="6" t="str">
        <f t="shared" si="2"/>
        <v>川越市</v>
      </c>
      <c r="C59" s="6" t="str">
        <f t="shared" si="3"/>
        <v>稲荷町6-18 ブルーハイツK</v>
      </c>
      <c r="D59" s="7" t="s">
        <v>220</v>
      </c>
      <c r="E59" s="7" t="s">
        <v>221</v>
      </c>
      <c r="F59" s="13" t="s">
        <v>222</v>
      </c>
      <c r="G59" s="7" t="s">
        <v>223</v>
      </c>
      <c r="H59" s="7" t="s">
        <v>14</v>
      </c>
      <c r="I59" s="7" t="s">
        <v>65</v>
      </c>
      <c r="J59" s="7" t="s">
        <v>35</v>
      </c>
      <c r="K59" s="8"/>
      <c r="L59" s="8"/>
    </row>
    <row r="60">
      <c r="A60" s="5" t="str">
        <f t="shared" si="1"/>
        <v>埼玉県</v>
      </c>
      <c r="B60" s="6" t="str">
        <f t="shared" si="2"/>
        <v>南区</v>
      </c>
      <c r="C60" s="6" t="str">
        <f t="shared" si="3"/>
        <v>南本町2-14-18 第16ユーセードムス</v>
      </c>
      <c r="D60" s="7" t="s">
        <v>224</v>
      </c>
      <c r="E60" s="7" t="s">
        <v>225</v>
      </c>
      <c r="F60" s="7" t="s">
        <v>26</v>
      </c>
      <c r="G60" s="7" t="s">
        <v>226</v>
      </c>
      <c r="H60" s="7" t="s">
        <v>40</v>
      </c>
      <c r="I60" s="7" t="s">
        <v>65</v>
      </c>
      <c r="J60" s="7" t="s">
        <v>41</v>
      </c>
      <c r="K60" s="8"/>
      <c r="L60" s="8"/>
    </row>
    <row r="61">
      <c r="A61" s="5" t="str">
        <f t="shared" si="1"/>
        <v>埼玉県</v>
      </c>
      <c r="B61" s="6" t="str">
        <f t="shared" si="2"/>
        <v>浦和区</v>
      </c>
      <c r="C61" s="6" t="str">
        <f t="shared" si="3"/>
        <v>岸町4丁目26-8 プリムローズ岸町</v>
      </c>
      <c r="D61" s="7" t="s">
        <v>227</v>
      </c>
      <c r="E61" s="7" t="s">
        <v>228</v>
      </c>
      <c r="F61" s="7" t="s">
        <v>229</v>
      </c>
      <c r="G61" s="7" t="s">
        <v>230</v>
      </c>
      <c r="H61" s="7" t="s">
        <v>231</v>
      </c>
      <c r="I61" s="7" t="s">
        <v>65</v>
      </c>
      <c r="J61" s="8"/>
      <c r="K61" s="7" t="s">
        <v>116</v>
      </c>
      <c r="L61" s="8"/>
    </row>
    <row r="62">
      <c r="A62" s="5" t="str">
        <f t="shared" si="1"/>
        <v>埼玉県</v>
      </c>
      <c r="B62" s="6" t="str">
        <f t="shared" si="2"/>
        <v>川口市</v>
      </c>
      <c r="C62" s="6" t="str">
        <f t="shared" si="3"/>
        <v>芝新町4-14 ラフィスタ芝新町</v>
      </c>
      <c r="D62" s="7" t="s">
        <v>232</v>
      </c>
      <c r="E62" s="7" t="s">
        <v>233</v>
      </c>
      <c r="F62" s="7" t="s">
        <v>26</v>
      </c>
      <c r="G62" s="7" t="s">
        <v>234</v>
      </c>
      <c r="H62" s="7" t="s">
        <v>40</v>
      </c>
      <c r="I62" s="7" t="s">
        <v>34</v>
      </c>
      <c r="J62" s="7" t="s">
        <v>41</v>
      </c>
      <c r="K62" s="8"/>
      <c r="L62" s="8"/>
    </row>
    <row r="63">
      <c r="A63" s="5" t="str">
        <f t="shared" si="1"/>
        <v>埼玉県</v>
      </c>
      <c r="B63" s="6" t="str">
        <f t="shared" si="2"/>
        <v>草加市</v>
      </c>
      <c r="C63" s="6" t="str">
        <f t="shared" si="3"/>
        <v>谷塚町1363-1 リレント谷塚II</v>
      </c>
      <c r="D63" s="7" t="s">
        <v>235</v>
      </c>
      <c r="E63" s="7" t="s">
        <v>236</v>
      </c>
      <c r="F63" s="7" t="s">
        <v>26</v>
      </c>
      <c r="G63" s="7" t="s">
        <v>237</v>
      </c>
      <c r="H63" s="7" t="s">
        <v>40</v>
      </c>
      <c r="I63" s="7" t="s">
        <v>65</v>
      </c>
      <c r="J63" s="7" t="s">
        <v>41</v>
      </c>
      <c r="K63" s="8"/>
      <c r="L63" s="8"/>
    </row>
    <row r="64">
      <c r="A64" s="5" t="str">
        <f t="shared" si="1"/>
        <v>埼玉県</v>
      </c>
      <c r="B64" s="6" t="str">
        <f t="shared" si="2"/>
        <v>草加市</v>
      </c>
      <c r="C64" s="6" t="str">
        <f t="shared" si="3"/>
        <v>氷川町2149-19 ライブコート草加</v>
      </c>
      <c r="D64" s="7" t="s">
        <v>238</v>
      </c>
      <c r="E64" s="7" t="s">
        <v>239</v>
      </c>
      <c r="F64" s="7" t="s">
        <v>12</v>
      </c>
      <c r="G64" s="7" t="s">
        <v>240</v>
      </c>
      <c r="H64" s="7" t="s">
        <v>33</v>
      </c>
      <c r="I64" s="7" t="s">
        <v>65</v>
      </c>
      <c r="J64" s="8"/>
      <c r="K64" s="8"/>
      <c r="L64" s="8"/>
    </row>
    <row r="65">
      <c r="A65" s="5" t="str">
        <f t="shared" si="1"/>
        <v>埼玉県</v>
      </c>
      <c r="B65" s="6" t="str">
        <f t="shared" si="2"/>
        <v>所沢市</v>
      </c>
      <c r="C65" s="6" t="str">
        <f t="shared" si="3"/>
        <v>小手指町3-7-3 煉瓦館25</v>
      </c>
      <c r="D65" s="7" t="s">
        <v>241</v>
      </c>
      <c r="E65" s="7" t="s">
        <v>242</v>
      </c>
      <c r="F65" s="7" t="s">
        <v>26</v>
      </c>
      <c r="G65" s="7" t="s">
        <v>243</v>
      </c>
      <c r="H65" s="7" t="s">
        <v>40</v>
      </c>
      <c r="I65" s="7" t="s">
        <v>34</v>
      </c>
      <c r="J65" s="8"/>
      <c r="K65" s="8"/>
      <c r="L65" s="8"/>
    </row>
    <row r="66">
      <c r="A66" s="5" t="str">
        <f t="shared" si="1"/>
        <v>埼玉県</v>
      </c>
      <c r="B66" s="6" t="str">
        <f t="shared" si="2"/>
        <v>飯能市</v>
      </c>
      <c r="C66" s="6" t="str">
        <f t="shared" si="3"/>
        <v>柳町23-18 EXCEED飯能</v>
      </c>
      <c r="D66" s="7" t="s">
        <v>244</v>
      </c>
      <c r="E66" s="7" t="s">
        <v>245</v>
      </c>
      <c r="F66" s="7" t="s">
        <v>52</v>
      </c>
      <c r="G66" s="7" t="s">
        <v>246</v>
      </c>
      <c r="H66" s="7" t="s">
        <v>129</v>
      </c>
      <c r="I66" s="7" t="s">
        <v>65</v>
      </c>
      <c r="J66" s="7" t="s">
        <v>41</v>
      </c>
      <c r="K66" s="7" t="s">
        <v>116</v>
      </c>
      <c r="L66" s="8"/>
    </row>
    <row r="67">
      <c r="A67" s="5" t="str">
        <f t="shared" si="1"/>
        <v>埼玉県</v>
      </c>
      <c r="B67" s="6" t="str">
        <f t="shared" si="2"/>
        <v>飯能市</v>
      </c>
      <c r="C67" s="6" t="str">
        <f t="shared" si="3"/>
        <v>柳町9-14 グランシャリオ飯能</v>
      </c>
      <c r="D67" s="7" t="s">
        <v>247</v>
      </c>
      <c r="E67" s="7" t="s">
        <v>248</v>
      </c>
      <c r="F67" s="7" t="s">
        <v>12</v>
      </c>
      <c r="G67" s="7" t="s">
        <v>249</v>
      </c>
      <c r="H67" s="7" t="s">
        <v>33</v>
      </c>
      <c r="I67" s="7" t="s">
        <v>65</v>
      </c>
      <c r="J67" s="7" t="s">
        <v>41</v>
      </c>
      <c r="K67" s="7" t="s">
        <v>66</v>
      </c>
      <c r="L67" s="8"/>
    </row>
    <row r="68">
      <c r="A68" s="5" t="str">
        <f t="shared" si="1"/>
        <v>埼玉県</v>
      </c>
      <c r="B68" s="6" t="str">
        <f t="shared" si="2"/>
        <v>ふじみ野市</v>
      </c>
      <c r="C68" s="6" t="str">
        <f t="shared" si="3"/>
        <v>上福岡1丁目7-10 ウィング上福岡</v>
      </c>
      <c r="D68" s="7" t="s">
        <v>250</v>
      </c>
      <c r="E68" s="7" t="s">
        <v>251</v>
      </c>
      <c r="F68" s="7" t="s">
        <v>12</v>
      </c>
      <c r="G68" s="7" t="s">
        <v>252</v>
      </c>
      <c r="H68" s="7" t="s">
        <v>33</v>
      </c>
      <c r="I68" s="7" t="s">
        <v>34</v>
      </c>
      <c r="J68" s="8"/>
      <c r="K68" s="8"/>
      <c r="L68" s="8"/>
    </row>
    <row r="69">
      <c r="A69" s="5" t="str">
        <f t="shared" si="1"/>
        <v>埼玉県</v>
      </c>
      <c r="B69" s="6" t="str">
        <f t="shared" si="2"/>
        <v>ふじみ野市</v>
      </c>
      <c r="C69" s="6" t="str">
        <f t="shared" si="3"/>
        <v>上福岡1丁目13-4  麻雀クラブ方の階段から</v>
      </c>
      <c r="D69" s="7" t="s">
        <v>253</v>
      </c>
      <c r="E69" s="7" t="s">
        <v>254</v>
      </c>
      <c r="F69" s="7" t="s">
        <v>26</v>
      </c>
      <c r="G69" s="7" t="s">
        <v>255</v>
      </c>
      <c r="H69" s="7" t="s">
        <v>40</v>
      </c>
      <c r="I69" s="7" t="s">
        <v>34</v>
      </c>
      <c r="J69" s="8"/>
      <c r="K69" s="8"/>
      <c r="L69" s="8"/>
    </row>
    <row r="70">
      <c r="A70" s="5" t="str">
        <f t="shared" si="1"/>
        <v>埼玉県</v>
      </c>
      <c r="B70" s="6" t="str">
        <f t="shared" si="2"/>
        <v>ふじみ野市</v>
      </c>
      <c r="C70" s="6" t="str">
        <f t="shared" si="3"/>
        <v>上福岡1丁目6-21 村田ビル</v>
      </c>
      <c r="D70" s="7" t="s">
        <v>256</v>
      </c>
      <c r="E70" s="7" t="s">
        <v>257</v>
      </c>
      <c r="F70" s="7" t="s">
        <v>12</v>
      </c>
      <c r="G70" s="7" t="s">
        <v>258</v>
      </c>
      <c r="H70" s="7" t="s">
        <v>33</v>
      </c>
      <c r="I70" s="7" t="s">
        <v>34</v>
      </c>
      <c r="J70" s="8"/>
      <c r="K70" s="8"/>
      <c r="L70" s="8"/>
    </row>
    <row r="71">
      <c r="A71" s="5" t="str">
        <f t="shared" si="1"/>
        <v>埼玉県</v>
      </c>
      <c r="B71" s="6" t="str">
        <f t="shared" si="2"/>
        <v>熊谷市</v>
      </c>
      <c r="C71" s="6" t="str">
        <f t="shared" si="3"/>
        <v>銀座1-153 ロハス星川</v>
      </c>
      <c r="D71" s="7" t="s">
        <v>259</v>
      </c>
      <c r="E71" s="7" t="s">
        <v>260</v>
      </c>
      <c r="F71" s="7" t="s">
        <v>7</v>
      </c>
      <c r="G71" s="7" t="s">
        <v>261</v>
      </c>
      <c r="H71" s="7" t="s">
        <v>40</v>
      </c>
      <c r="I71" s="7" t="s">
        <v>34</v>
      </c>
      <c r="J71" s="7" t="s">
        <v>35</v>
      </c>
      <c r="K71" s="7" t="s">
        <v>116</v>
      </c>
      <c r="L71" s="8"/>
    </row>
    <row r="72">
      <c r="A72" s="5" t="str">
        <f t="shared" si="1"/>
        <v>埼玉県</v>
      </c>
      <c r="B72" s="6" t="str">
        <f t="shared" si="2"/>
        <v>大宮区</v>
      </c>
      <c r="C72" s="6" t="str">
        <f t="shared" si="3"/>
        <v>桜木町2丁目457-1 志延舍</v>
      </c>
      <c r="D72" s="9" t="s">
        <v>262</v>
      </c>
      <c r="E72" s="9" t="s">
        <v>263</v>
      </c>
      <c r="F72" s="9" t="s">
        <v>12</v>
      </c>
      <c r="G72" s="9" t="s">
        <v>264</v>
      </c>
      <c r="H72" s="9" t="s">
        <v>33</v>
      </c>
      <c r="I72" s="9" t="s">
        <v>34</v>
      </c>
      <c r="J72" s="9" t="s">
        <v>41</v>
      </c>
      <c r="K72" s="10" t="s">
        <v>70</v>
      </c>
      <c r="L72" s="11"/>
    </row>
    <row r="73">
      <c r="A73" s="5" t="str">
        <f t="shared" si="1"/>
        <v>埼玉県</v>
      </c>
      <c r="B73" s="6" t="str">
        <f t="shared" si="2"/>
        <v>狭山市</v>
      </c>
      <c r="C73" s="6" t="str">
        <f t="shared" si="3"/>
        <v>新狭山2丁目23-11 オーク新狭山</v>
      </c>
      <c r="D73" s="9" t="s">
        <v>265</v>
      </c>
      <c r="E73" s="9" t="s">
        <v>266</v>
      </c>
      <c r="F73" s="9" t="s">
        <v>26</v>
      </c>
      <c r="G73" s="9" t="s">
        <v>267</v>
      </c>
      <c r="H73" s="9" t="s">
        <v>33</v>
      </c>
      <c r="I73" s="9" t="s">
        <v>34</v>
      </c>
      <c r="J73" s="9" t="s">
        <v>41</v>
      </c>
      <c r="K73" s="10" t="s">
        <v>268</v>
      </c>
      <c r="L73" s="11"/>
    </row>
    <row r="74">
      <c r="A74" s="5" t="str">
        <f t="shared" si="1"/>
        <v>埼玉県</v>
      </c>
      <c r="B74" s="6" t="str">
        <f t="shared" si="2"/>
        <v>越谷市</v>
      </c>
      <c r="C74" s="6" t="str">
        <f t="shared" si="3"/>
        <v>南越谷4丁目12-22 サクラビルディング</v>
      </c>
      <c r="D74" s="7" t="s">
        <v>269</v>
      </c>
      <c r="E74" s="7" t="s">
        <v>270</v>
      </c>
      <c r="F74" s="7" t="s">
        <v>26</v>
      </c>
      <c r="G74" s="7" t="s">
        <v>271</v>
      </c>
      <c r="H74" s="7" t="s">
        <v>40</v>
      </c>
      <c r="I74" s="7" t="s">
        <v>34</v>
      </c>
      <c r="J74" s="8"/>
      <c r="K74" s="7" t="s">
        <v>116</v>
      </c>
      <c r="L74" s="8"/>
    </row>
    <row r="75">
      <c r="A75" s="5" t="str">
        <f t="shared" si="1"/>
        <v>埼玉県</v>
      </c>
      <c r="B75" s="6" t="str">
        <f t="shared" si="2"/>
        <v>朝霞市</v>
      </c>
      <c r="C75" s="6" t="str">
        <f t="shared" si="3"/>
        <v>北原2丁目12-32  メゾンヨネダ</v>
      </c>
      <c r="D75" s="7" t="s">
        <v>272</v>
      </c>
      <c r="E75" s="7" t="s">
        <v>273</v>
      </c>
      <c r="F75" s="7" t="s">
        <v>274</v>
      </c>
      <c r="G75" s="7" t="s">
        <v>275</v>
      </c>
      <c r="H75" s="7" t="s">
        <v>14</v>
      </c>
      <c r="I75" s="7" t="s">
        <v>65</v>
      </c>
      <c r="J75" s="7" t="s">
        <v>35</v>
      </c>
      <c r="K75" s="8"/>
      <c r="L75" s="8"/>
    </row>
    <row r="76">
      <c r="A76" s="5" t="str">
        <f t="shared" si="1"/>
        <v>埼玉県</v>
      </c>
      <c r="B76" s="6" t="str">
        <f t="shared" si="2"/>
        <v>朝霞市</v>
      </c>
      <c r="C76" s="6" t="str">
        <f t="shared" si="3"/>
        <v>本町1丁目22-15 ウィンベルソロ</v>
      </c>
      <c r="D76" s="14" t="s">
        <v>276</v>
      </c>
      <c r="E76" s="14" t="s">
        <v>277</v>
      </c>
      <c r="F76" s="14" t="s">
        <v>26</v>
      </c>
      <c r="G76" s="14" t="s">
        <v>278</v>
      </c>
      <c r="H76" s="14" t="s">
        <v>33</v>
      </c>
      <c r="I76" s="14" t="s">
        <v>34</v>
      </c>
      <c r="J76" s="14" t="s">
        <v>35</v>
      </c>
      <c r="K76" s="15"/>
      <c r="L76" s="15"/>
    </row>
    <row r="77">
      <c r="A77" s="5" t="str">
        <f t="shared" si="1"/>
        <v>大阪府</v>
      </c>
      <c r="B77" s="6" t="str">
        <f t="shared" si="2"/>
        <v>泉大津市</v>
      </c>
      <c r="C77" s="6" t="str">
        <f t="shared" si="3"/>
        <v>東豊中町1-5-48 シンエイビル</v>
      </c>
      <c r="D77" s="7" t="s">
        <v>279</v>
      </c>
      <c r="E77" s="7" t="s">
        <v>280</v>
      </c>
      <c r="F77" s="7" t="s">
        <v>26</v>
      </c>
      <c r="G77" s="7" t="s">
        <v>281</v>
      </c>
      <c r="H77" s="7" t="s">
        <v>33</v>
      </c>
      <c r="I77" s="7" t="s">
        <v>34</v>
      </c>
      <c r="J77" s="7" t="s">
        <v>35</v>
      </c>
      <c r="K77" s="7" t="s">
        <v>36</v>
      </c>
      <c r="L77" s="8"/>
    </row>
    <row r="78">
      <c r="A78" s="5" t="str">
        <f t="shared" si="1"/>
        <v>大阪府</v>
      </c>
      <c r="B78" s="6" t="str">
        <f t="shared" si="2"/>
        <v>西成区</v>
      </c>
      <c r="C78" s="6" t="str">
        <f t="shared" si="3"/>
        <v>旭1-8-5 サンハイツタケナワ</v>
      </c>
      <c r="D78" s="7" t="s">
        <v>282</v>
      </c>
      <c r="E78" s="7" t="s">
        <v>283</v>
      </c>
      <c r="F78" s="7" t="s">
        <v>12</v>
      </c>
      <c r="G78" s="7" t="s">
        <v>284</v>
      </c>
      <c r="H78" s="7" t="s">
        <v>33</v>
      </c>
      <c r="I78" s="7" t="s">
        <v>34</v>
      </c>
      <c r="J78" s="8"/>
      <c r="K78" s="7" t="s">
        <v>285</v>
      </c>
      <c r="L78" s="8"/>
    </row>
    <row r="79">
      <c r="A79" s="5" t="str">
        <f t="shared" si="1"/>
        <v>大阪府</v>
      </c>
      <c r="B79" s="6" t="str">
        <f t="shared" si="2"/>
        <v>生野区</v>
      </c>
      <c r="C79" s="6" t="str">
        <f t="shared" si="3"/>
        <v>鶴橋1-5-21 カーサフェリーチェ</v>
      </c>
      <c r="D79" s="7" t="s">
        <v>286</v>
      </c>
      <c r="E79" s="7" t="s">
        <v>287</v>
      </c>
      <c r="F79" s="7" t="s">
        <v>12</v>
      </c>
      <c r="G79" s="7" t="s">
        <v>288</v>
      </c>
      <c r="H79" s="7" t="s">
        <v>33</v>
      </c>
      <c r="I79" s="7" t="s">
        <v>34</v>
      </c>
      <c r="J79" s="8"/>
      <c r="K79" s="7" t="s">
        <v>285</v>
      </c>
      <c r="L79" s="8"/>
    </row>
    <row r="80">
      <c r="A80" s="5" t="str">
        <f t="shared" si="1"/>
        <v>大阪府</v>
      </c>
      <c r="B80" s="6" t="str">
        <f t="shared" si="2"/>
        <v>中央区</v>
      </c>
      <c r="C80" s="6" t="str">
        <f t="shared" si="3"/>
        <v>備後町1-4-6  ラナップスクエ堺筋本町</v>
      </c>
      <c r="D80" s="7" t="s">
        <v>289</v>
      </c>
      <c r="E80" s="7" t="s">
        <v>290</v>
      </c>
      <c r="F80" s="7" t="s">
        <v>12</v>
      </c>
      <c r="G80" s="7" t="s">
        <v>291</v>
      </c>
      <c r="H80" s="7" t="s">
        <v>33</v>
      </c>
      <c r="I80" s="7" t="s">
        <v>34</v>
      </c>
      <c r="J80" s="8"/>
      <c r="K80" s="7" t="s">
        <v>285</v>
      </c>
      <c r="L80" s="8"/>
    </row>
    <row r="81">
      <c r="A81" s="5" t="str">
        <f t="shared" si="1"/>
        <v>大阪府</v>
      </c>
      <c r="B81" s="6" t="str">
        <f t="shared" si="2"/>
        <v>中央区</v>
      </c>
      <c r="C81" s="6" t="str">
        <f t="shared" si="3"/>
        <v>日本橋1丁目3-2 コージーアパートメント日本橋</v>
      </c>
      <c r="D81" s="7" t="s">
        <v>292</v>
      </c>
      <c r="E81" s="7" t="s">
        <v>293</v>
      </c>
      <c r="F81" s="7" t="s">
        <v>26</v>
      </c>
      <c r="G81" s="7" t="s">
        <v>294</v>
      </c>
      <c r="H81" s="7" t="s">
        <v>14</v>
      </c>
      <c r="I81" s="7" t="s">
        <v>65</v>
      </c>
      <c r="J81" s="7" t="s">
        <v>35</v>
      </c>
      <c r="K81" s="7" t="s">
        <v>116</v>
      </c>
      <c r="L81" s="8"/>
    </row>
    <row r="82">
      <c r="A82" s="5" t="str">
        <f t="shared" si="1"/>
        <v>大阪府</v>
      </c>
      <c r="B82" s="6" t="str">
        <f t="shared" si="2"/>
        <v>中央区</v>
      </c>
      <c r="C82" s="6" t="str">
        <f t="shared" si="3"/>
        <v>高津2丁目4-20 M.C.高津メゾンエルム</v>
      </c>
      <c r="D82" s="7" t="s">
        <v>295</v>
      </c>
      <c r="E82" s="7" t="s">
        <v>296</v>
      </c>
      <c r="F82" s="7" t="s">
        <v>26</v>
      </c>
      <c r="G82" s="7" t="s">
        <v>297</v>
      </c>
      <c r="H82" s="7" t="s">
        <v>40</v>
      </c>
      <c r="I82" s="7" t="s">
        <v>34</v>
      </c>
      <c r="J82" s="7" t="s">
        <v>41</v>
      </c>
      <c r="K82" s="8"/>
      <c r="L82" s="8"/>
    </row>
    <row r="83">
      <c r="A83" s="5" t="str">
        <f t="shared" si="1"/>
        <v>大阪府</v>
      </c>
      <c r="B83" s="6" t="str">
        <f t="shared" si="2"/>
        <v>天王寺区</v>
      </c>
      <c r="C83" s="6" t="str">
        <f t="shared" si="3"/>
        <v>生玉町11-29</v>
      </c>
      <c r="D83" s="7" t="s">
        <v>298</v>
      </c>
      <c r="E83" s="7" t="s">
        <v>299</v>
      </c>
      <c r="F83" s="7" t="s">
        <v>300</v>
      </c>
      <c r="G83" s="7" t="s">
        <v>301</v>
      </c>
      <c r="H83" s="7" t="s">
        <v>40</v>
      </c>
      <c r="I83" s="7" t="s">
        <v>34</v>
      </c>
      <c r="J83" s="7" t="s">
        <v>41</v>
      </c>
      <c r="K83" s="8"/>
      <c r="L83" s="8"/>
    </row>
    <row r="84">
      <c r="A84" s="5" t="str">
        <f t="shared" si="1"/>
        <v>大阪府</v>
      </c>
      <c r="B84" s="6" t="str">
        <f t="shared" si="2"/>
        <v>淀川区</v>
      </c>
      <c r="C84" s="6" t="str">
        <f t="shared" si="3"/>
        <v>西中島1丁目14-4 プレサンス新大阪ストリーム</v>
      </c>
      <c r="D84" s="7" t="s">
        <v>302</v>
      </c>
      <c r="E84" s="7" t="s">
        <v>303</v>
      </c>
      <c r="F84" s="7" t="s">
        <v>26</v>
      </c>
      <c r="G84" s="7" t="s">
        <v>304</v>
      </c>
      <c r="H84" s="7" t="s">
        <v>33</v>
      </c>
      <c r="I84" s="7" t="s">
        <v>34</v>
      </c>
      <c r="J84" s="7" t="s">
        <v>41</v>
      </c>
      <c r="K84" s="8"/>
      <c r="L84" s="8"/>
    </row>
    <row r="85">
      <c r="A85" s="5" t="str">
        <f t="shared" si="1"/>
        <v>大阪府</v>
      </c>
      <c r="B85" s="6" t="str">
        <f t="shared" si="2"/>
        <v>淀川区</v>
      </c>
      <c r="C85" s="6" t="str">
        <f t="shared" si="3"/>
        <v>西中島5丁目8-21 マイルド新大阪レジデンス</v>
      </c>
      <c r="D85" s="7" t="s">
        <v>305</v>
      </c>
      <c r="E85" s="7" t="s">
        <v>306</v>
      </c>
      <c r="F85" s="7" t="s">
        <v>26</v>
      </c>
      <c r="G85" s="7" t="s">
        <v>307</v>
      </c>
      <c r="H85" s="7" t="s">
        <v>308</v>
      </c>
      <c r="I85" s="7" t="s">
        <v>65</v>
      </c>
      <c r="J85" s="8"/>
      <c r="K85" s="7" t="s">
        <v>309</v>
      </c>
      <c r="L85" s="8"/>
    </row>
    <row r="86">
      <c r="A86" s="5" t="str">
        <f t="shared" si="1"/>
        <v>大阪府</v>
      </c>
      <c r="B86" s="6" t="str">
        <f t="shared" si="2"/>
        <v>淀川区</v>
      </c>
      <c r="C86" s="6" t="str">
        <f t="shared" si="3"/>
        <v>西中島3-12-4 ATOLL西中島</v>
      </c>
      <c r="D86" s="7" t="s">
        <v>310</v>
      </c>
      <c r="E86" s="7" t="s">
        <v>311</v>
      </c>
      <c r="F86" s="7" t="s">
        <v>179</v>
      </c>
      <c r="G86" s="7" t="s">
        <v>312</v>
      </c>
      <c r="H86" s="7" t="s">
        <v>33</v>
      </c>
      <c r="I86" s="7" t="s">
        <v>34</v>
      </c>
      <c r="J86" s="8"/>
      <c r="K86" s="7" t="s">
        <v>285</v>
      </c>
      <c r="L86" s="8"/>
    </row>
    <row r="87">
      <c r="A87" s="5" t="str">
        <f t="shared" si="1"/>
        <v>大阪市</v>
      </c>
      <c r="B87" s="6" t="str">
        <f t="shared" si="2"/>
        <v>東淀川区</v>
      </c>
      <c r="C87" s="6" t="str">
        <f t="shared" si="3"/>
        <v>西淡路1-1-28 ライオンズマンション</v>
      </c>
      <c r="D87" s="7" t="s">
        <v>313</v>
      </c>
      <c r="E87" s="7" t="s">
        <v>314</v>
      </c>
      <c r="F87" s="7" t="s">
        <v>190</v>
      </c>
      <c r="G87" s="7" t="s">
        <v>315</v>
      </c>
      <c r="H87" s="7" t="s">
        <v>33</v>
      </c>
      <c r="I87" s="7" t="s">
        <v>34</v>
      </c>
      <c r="J87" s="8"/>
      <c r="K87" s="7" t="s">
        <v>285</v>
      </c>
      <c r="L87" s="8"/>
    </row>
    <row r="88">
      <c r="A88" s="5" t="str">
        <f t="shared" si="1"/>
        <v>大阪府</v>
      </c>
      <c r="B88" s="6" t="str">
        <f t="shared" si="2"/>
        <v>平野区</v>
      </c>
      <c r="C88" s="6" t="str">
        <f t="shared" si="3"/>
        <v>背戸口5-6-12 カサ・エルドラード</v>
      </c>
      <c r="D88" s="7" t="s">
        <v>316</v>
      </c>
      <c r="E88" s="7" t="s">
        <v>317</v>
      </c>
      <c r="F88" s="7" t="s">
        <v>60</v>
      </c>
      <c r="G88" s="7" t="s">
        <v>318</v>
      </c>
      <c r="H88" s="7" t="s">
        <v>14</v>
      </c>
      <c r="I88" s="7" t="s">
        <v>65</v>
      </c>
      <c r="J88" s="7" t="s">
        <v>35</v>
      </c>
      <c r="K88" s="7" t="s">
        <v>319</v>
      </c>
      <c r="L88" s="8"/>
    </row>
    <row r="89">
      <c r="A89" s="5" t="str">
        <f t="shared" si="1"/>
        <v>大阪府</v>
      </c>
      <c r="B89" s="6" t="str">
        <f t="shared" si="2"/>
        <v>都島区</v>
      </c>
      <c r="C89" s="6" t="str">
        <f t="shared" si="3"/>
        <v>東野田町4-14-10 レクシア京橋</v>
      </c>
      <c r="D89" s="7" t="s">
        <v>320</v>
      </c>
      <c r="E89" s="7" t="s">
        <v>321</v>
      </c>
      <c r="F89" s="7" t="s">
        <v>26</v>
      </c>
      <c r="G89" s="7" t="s">
        <v>322</v>
      </c>
      <c r="H89" s="7" t="s">
        <v>33</v>
      </c>
      <c r="I89" s="7" t="s">
        <v>34</v>
      </c>
      <c r="J89" s="8"/>
      <c r="K89" s="7" t="s">
        <v>285</v>
      </c>
      <c r="L89" s="8"/>
    </row>
    <row r="90">
      <c r="A90" s="5" t="str">
        <f t="shared" si="1"/>
        <v>大阪府</v>
      </c>
      <c r="B90" s="6" t="str">
        <f t="shared" si="2"/>
        <v>守口市</v>
      </c>
      <c r="C90" s="6" t="str">
        <f t="shared" si="3"/>
        <v>寺内町1-5-5 クレイン守口</v>
      </c>
      <c r="D90" s="7" t="s">
        <v>323</v>
      </c>
      <c r="E90" s="7" t="s">
        <v>324</v>
      </c>
      <c r="F90" s="7" t="s">
        <v>12</v>
      </c>
      <c r="G90" s="7" t="s">
        <v>325</v>
      </c>
      <c r="H90" s="7" t="s">
        <v>33</v>
      </c>
      <c r="I90" s="7" t="s">
        <v>34</v>
      </c>
      <c r="J90" s="8"/>
      <c r="K90" s="7" t="s">
        <v>285</v>
      </c>
      <c r="L90" s="8"/>
    </row>
    <row r="91">
      <c r="A91" s="5" t="str">
        <f t="shared" si="1"/>
        <v>大阪府</v>
      </c>
      <c r="B91" s="6" t="str">
        <f t="shared" si="2"/>
        <v>守口市</v>
      </c>
      <c r="C91" s="6" t="str">
        <f t="shared" si="3"/>
        <v>春日町1-19 アドヴァンテージ守口</v>
      </c>
      <c r="D91" s="7" t="s">
        <v>326</v>
      </c>
      <c r="E91" s="7" t="s">
        <v>327</v>
      </c>
      <c r="F91" s="7" t="s">
        <v>190</v>
      </c>
      <c r="G91" s="7" t="s">
        <v>328</v>
      </c>
      <c r="H91" s="7" t="s">
        <v>33</v>
      </c>
      <c r="I91" s="8"/>
      <c r="J91" s="8"/>
      <c r="K91" s="8"/>
      <c r="L91" s="8"/>
    </row>
    <row r="92">
      <c r="A92" s="5" t="str">
        <f t="shared" si="1"/>
        <v>大阪府</v>
      </c>
      <c r="B92" s="6" t="str">
        <f t="shared" si="2"/>
        <v>吹田市</v>
      </c>
      <c r="C92" s="6" t="str">
        <f t="shared" si="3"/>
        <v>江の木町17-16 アーデン江坂</v>
      </c>
      <c r="D92" s="7" t="s">
        <v>329</v>
      </c>
      <c r="E92" s="7" t="s">
        <v>330</v>
      </c>
      <c r="F92" s="7" t="s">
        <v>26</v>
      </c>
      <c r="G92" s="7" t="s">
        <v>331</v>
      </c>
      <c r="H92" s="7" t="s">
        <v>40</v>
      </c>
      <c r="I92" s="8"/>
      <c r="J92" s="8"/>
      <c r="K92" s="7" t="s">
        <v>332</v>
      </c>
      <c r="L92" s="8"/>
    </row>
    <row r="93">
      <c r="A93" s="5" t="str">
        <f t="shared" si="1"/>
        <v>大阪府</v>
      </c>
      <c r="B93" s="6" t="str">
        <f t="shared" si="2"/>
        <v>松原市</v>
      </c>
      <c r="C93" s="6" t="str">
        <f t="shared" si="3"/>
        <v>上田1-4-8 ふぁみーゆ上田III</v>
      </c>
      <c r="D93" s="7" t="s">
        <v>333</v>
      </c>
      <c r="E93" s="7" t="s">
        <v>334</v>
      </c>
      <c r="F93" s="7" t="s">
        <v>12</v>
      </c>
      <c r="G93" s="7" t="s">
        <v>335</v>
      </c>
      <c r="H93" s="7" t="s">
        <v>14</v>
      </c>
      <c r="I93" s="7" t="s">
        <v>65</v>
      </c>
      <c r="J93" s="7" t="s">
        <v>35</v>
      </c>
      <c r="K93" s="8"/>
      <c r="L93" s="8"/>
    </row>
    <row r="94">
      <c r="A94" s="5" t="str">
        <f t="shared" si="1"/>
        <v>愛知県</v>
      </c>
      <c r="B94" s="6" t="str">
        <f t="shared" si="2"/>
        <v>名東区</v>
      </c>
      <c r="C94" s="6" t="str">
        <f t="shared" si="3"/>
        <v>一社1-125 アサノビル</v>
      </c>
      <c r="D94" s="7" t="s">
        <v>336</v>
      </c>
      <c r="E94" s="7" t="s">
        <v>337</v>
      </c>
      <c r="F94" s="7" t="s">
        <v>26</v>
      </c>
      <c r="G94" s="7" t="s">
        <v>338</v>
      </c>
      <c r="H94" s="7" t="s">
        <v>28</v>
      </c>
      <c r="I94" s="7" t="s">
        <v>34</v>
      </c>
      <c r="J94" s="7" t="s">
        <v>41</v>
      </c>
      <c r="K94" s="7" t="s">
        <v>339</v>
      </c>
      <c r="L94" s="8"/>
    </row>
    <row r="95">
      <c r="A95" s="5" t="str">
        <f t="shared" si="1"/>
        <v>愛知県</v>
      </c>
      <c r="B95" s="6" t="str">
        <f t="shared" si="2"/>
        <v>名東区</v>
      </c>
      <c r="C95" s="6" t="str">
        <f t="shared" si="3"/>
        <v>八前1-202 京和コーポ</v>
      </c>
      <c r="D95" s="7" t="s">
        <v>340</v>
      </c>
      <c r="E95" s="7" t="s">
        <v>341</v>
      </c>
      <c r="F95" s="7" t="s">
        <v>26</v>
      </c>
      <c r="G95" s="7" t="s">
        <v>342</v>
      </c>
      <c r="H95" s="7" t="s">
        <v>14</v>
      </c>
      <c r="I95" s="7" t="s">
        <v>34</v>
      </c>
      <c r="J95" s="7" t="s">
        <v>41</v>
      </c>
      <c r="K95" s="7" t="s">
        <v>343</v>
      </c>
      <c r="L95" s="8"/>
    </row>
    <row r="96">
      <c r="A96" s="5" t="str">
        <f t="shared" si="1"/>
        <v>愛知県</v>
      </c>
      <c r="B96" s="6" t="str">
        <f t="shared" si="2"/>
        <v>南区</v>
      </c>
      <c r="C96" s="6" t="str">
        <f t="shared" si="3"/>
        <v>柴田町3-22 ラディアント柴田</v>
      </c>
      <c r="D96" s="7" t="s">
        <v>344</v>
      </c>
      <c r="E96" s="7" t="s">
        <v>345</v>
      </c>
      <c r="F96" s="7" t="s">
        <v>26</v>
      </c>
      <c r="G96" s="7" t="s">
        <v>346</v>
      </c>
      <c r="H96" s="7" t="s">
        <v>129</v>
      </c>
      <c r="I96" s="7" t="s">
        <v>34</v>
      </c>
      <c r="J96" s="7" t="s">
        <v>41</v>
      </c>
      <c r="K96" s="8"/>
      <c r="L96" s="8"/>
    </row>
    <row r="97">
      <c r="A97" s="5" t="str">
        <f t="shared" si="1"/>
        <v>愛知県</v>
      </c>
      <c r="B97" s="6" t="str">
        <f t="shared" si="2"/>
        <v>中川区</v>
      </c>
      <c r="C97" s="6" t="str">
        <f t="shared" si="3"/>
        <v>高畑3-40 ブラザービル</v>
      </c>
      <c r="D97" s="7" t="s">
        <v>347</v>
      </c>
      <c r="E97" s="7" t="s">
        <v>348</v>
      </c>
      <c r="F97" s="7" t="s">
        <v>26</v>
      </c>
      <c r="G97" s="7" t="s">
        <v>349</v>
      </c>
      <c r="H97" s="7" t="s">
        <v>14</v>
      </c>
      <c r="I97" s="7" t="s">
        <v>34</v>
      </c>
      <c r="J97" s="7" t="s">
        <v>41</v>
      </c>
      <c r="K97" s="8"/>
      <c r="L97" s="8"/>
    </row>
    <row r="98">
      <c r="A98" s="5" t="str">
        <f t="shared" si="1"/>
        <v>愛知県</v>
      </c>
      <c r="B98" s="6" t="str">
        <f t="shared" si="2"/>
        <v>北区</v>
      </c>
      <c r="C98" s="6" t="str">
        <f t="shared" si="3"/>
        <v>若葉通1丁目21 メゾンコロル</v>
      </c>
      <c r="D98" s="7" t="s">
        <v>350</v>
      </c>
      <c r="E98" s="7" t="s">
        <v>351</v>
      </c>
      <c r="F98" s="7" t="s">
        <v>26</v>
      </c>
      <c r="G98" s="7" t="s">
        <v>352</v>
      </c>
      <c r="H98" s="7" t="s">
        <v>28</v>
      </c>
      <c r="I98" s="7" t="s">
        <v>34</v>
      </c>
      <c r="J98" s="7" t="s">
        <v>41</v>
      </c>
      <c r="K98" s="8"/>
      <c r="L98" s="8"/>
    </row>
    <row r="99">
      <c r="A99" s="5" t="str">
        <f t="shared" si="1"/>
        <v>愛知県</v>
      </c>
      <c r="B99" s="6" t="str">
        <f t="shared" si="2"/>
        <v>西区</v>
      </c>
      <c r="C99" s="6" t="str">
        <f t="shared" si="3"/>
        <v>上小田井1-47 ブルーウェーブマンショ</v>
      </c>
      <c r="D99" s="7" t="s">
        <v>353</v>
      </c>
      <c r="E99" s="7" t="s">
        <v>354</v>
      </c>
      <c r="F99" s="7" t="s">
        <v>26</v>
      </c>
      <c r="G99" s="7" t="s">
        <v>355</v>
      </c>
      <c r="H99" s="7" t="s">
        <v>40</v>
      </c>
      <c r="I99" s="7" t="s">
        <v>34</v>
      </c>
      <c r="J99" s="8"/>
      <c r="K99" s="7" t="s">
        <v>116</v>
      </c>
      <c r="L99" s="8"/>
    </row>
    <row r="100">
      <c r="A100" s="5" t="str">
        <f t="shared" si="1"/>
        <v>愛知県</v>
      </c>
      <c r="B100" s="6" t="str">
        <f t="shared" si="2"/>
        <v>港区</v>
      </c>
      <c r="C100" s="6" t="str">
        <f t="shared" si="3"/>
        <v>名港1丁目1-19 三旺ポートタウン港</v>
      </c>
      <c r="D100" s="7" t="s">
        <v>356</v>
      </c>
      <c r="E100" s="7" t="s">
        <v>357</v>
      </c>
      <c r="F100" s="7" t="s">
        <v>26</v>
      </c>
      <c r="G100" s="7" t="s">
        <v>358</v>
      </c>
      <c r="H100" s="7" t="s">
        <v>40</v>
      </c>
      <c r="I100" s="7" t="s">
        <v>65</v>
      </c>
      <c r="J100" s="8"/>
      <c r="K100" s="7" t="s">
        <v>359</v>
      </c>
      <c r="L100" s="8"/>
    </row>
    <row r="101">
      <c r="A101" s="5" t="str">
        <f t="shared" si="1"/>
        <v>愛知県</v>
      </c>
      <c r="B101" s="6" t="str">
        <f t="shared" si="2"/>
        <v>春日井市</v>
      </c>
      <c r="C101" s="6" t="str">
        <f t="shared" si="3"/>
        <v>八幡町35-1 ニューブラウンハイツ</v>
      </c>
      <c r="D101" s="7" t="s">
        <v>360</v>
      </c>
      <c r="E101" s="7" t="s">
        <v>361</v>
      </c>
      <c r="F101" s="7" t="s">
        <v>26</v>
      </c>
      <c r="G101" s="7" t="s">
        <v>362</v>
      </c>
      <c r="H101" s="7" t="s">
        <v>14</v>
      </c>
      <c r="I101" s="7" t="s">
        <v>34</v>
      </c>
      <c r="J101" s="7" t="s">
        <v>41</v>
      </c>
      <c r="K101" s="8"/>
      <c r="L101" s="8"/>
    </row>
    <row r="102">
      <c r="A102" s="5" t="str">
        <f t="shared" si="1"/>
        <v>愛知県</v>
      </c>
      <c r="B102" s="6" t="str">
        <f t="shared" si="2"/>
        <v>小牧市</v>
      </c>
      <c r="C102" s="6" t="str">
        <f t="shared" si="3"/>
        <v>小牧1-254 第2メゾンたけ宗</v>
      </c>
      <c r="D102" s="7" t="s">
        <v>363</v>
      </c>
      <c r="E102" s="7" t="s">
        <v>364</v>
      </c>
      <c r="F102" s="7" t="s">
        <v>7</v>
      </c>
      <c r="G102" s="7" t="s">
        <v>365</v>
      </c>
      <c r="H102" s="7" t="s">
        <v>33</v>
      </c>
      <c r="I102" s="7" t="s">
        <v>34</v>
      </c>
      <c r="J102" s="7" t="s">
        <v>41</v>
      </c>
      <c r="K102" s="8"/>
      <c r="L102" s="8"/>
    </row>
    <row r="103">
      <c r="A103" s="5" t="str">
        <f t="shared" si="1"/>
        <v>愛知県</v>
      </c>
      <c r="B103" s="6" t="str">
        <f t="shared" si="2"/>
        <v>豊橋市</v>
      </c>
      <c r="C103" s="6" t="str">
        <f t="shared" si="3"/>
        <v>菰口町3-95 第5フクマルビル</v>
      </c>
      <c r="D103" s="7" t="s">
        <v>366</v>
      </c>
      <c r="E103" s="7" t="s">
        <v>367</v>
      </c>
      <c r="F103" s="7" t="s">
        <v>26</v>
      </c>
      <c r="G103" s="7" t="s">
        <v>368</v>
      </c>
      <c r="H103" s="7" t="s">
        <v>129</v>
      </c>
      <c r="I103" s="7" t="s">
        <v>34</v>
      </c>
      <c r="J103" s="7" t="s">
        <v>41</v>
      </c>
      <c r="K103" s="8"/>
      <c r="L103" s="8"/>
    </row>
    <row r="104">
      <c r="A104" s="5" t="str">
        <f t="shared" si="1"/>
        <v>愛知県</v>
      </c>
      <c r="B104" s="6" t="str">
        <f t="shared" si="2"/>
        <v>豊川市</v>
      </c>
      <c r="C104" s="6" t="str">
        <f t="shared" si="3"/>
        <v>平尾町神田64-1 ル・ボア大黒平尾A</v>
      </c>
      <c r="D104" s="7" t="s">
        <v>369</v>
      </c>
      <c r="E104" s="7" t="s">
        <v>370</v>
      </c>
      <c r="F104" s="7" t="s">
        <v>26</v>
      </c>
      <c r="G104" s="7" t="s">
        <v>371</v>
      </c>
      <c r="H104" s="7" t="s">
        <v>40</v>
      </c>
      <c r="I104" s="7" t="s">
        <v>65</v>
      </c>
      <c r="J104" s="7" t="s">
        <v>41</v>
      </c>
      <c r="K104" s="7" t="s">
        <v>372</v>
      </c>
      <c r="L104" s="7" t="s">
        <v>373</v>
      </c>
    </row>
    <row r="105">
      <c r="A105" s="5" t="str">
        <f t="shared" si="1"/>
        <v>愛知県</v>
      </c>
      <c r="B105" s="6" t="str">
        <f t="shared" si="2"/>
        <v>半田市</v>
      </c>
      <c r="C105" s="6" t="str">
        <f t="shared" si="3"/>
        <v>乙川太田町2-87-2</v>
      </c>
      <c r="D105" s="7" t="s">
        <v>374</v>
      </c>
      <c r="E105" s="7" t="s">
        <v>375</v>
      </c>
      <c r="F105" s="7" t="s">
        <v>26</v>
      </c>
      <c r="G105" s="7" t="s">
        <v>376</v>
      </c>
      <c r="H105" s="7" t="s">
        <v>129</v>
      </c>
      <c r="I105" s="7" t="s">
        <v>34</v>
      </c>
      <c r="J105" s="7" t="s">
        <v>41</v>
      </c>
      <c r="K105" s="8"/>
      <c r="L105" s="8"/>
    </row>
    <row r="106">
      <c r="A106" s="5" t="str">
        <f t="shared" si="1"/>
        <v>愛知県</v>
      </c>
      <c r="B106" s="6" t="str">
        <f t="shared" si="2"/>
        <v>半田市</v>
      </c>
      <c r="C106" s="6" t="str">
        <f t="shared" si="3"/>
        <v>東郷町4-101-2 ウェルネスタウン</v>
      </c>
      <c r="D106" s="7" t="s">
        <v>377</v>
      </c>
      <c r="E106" s="7" t="s">
        <v>378</v>
      </c>
      <c r="F106" s="7" t="s">
        <v>76</v>
      </c>
      <c r="G106" s="7" t="s">
        <v>379</v>
      </c>
      <c r="H106" s="7" t="s">
        <v>14</v>
      </c>
      <c r="I106" s="7" t="s">
        <v>34</v>
      </c>
      <c r="J106" s="7" t="s">
        <v>41</v>
      </c>
      <c r="K106" s="7" t="s">
        <v>380</v>
      </c>
      <c r="L106" s="8"/>
    </row>
    <row r="107">
      <c r="A107" s="5" t="str">
        <f t="shared" si="1"/>
        <v>愛知県</v>
      </c>
      <c r="B107" s="6" t="str">
        <f t="shared" si="2"/>
        <v>大府市</v>
      </c>
      <c r="C107" s="6" t="str">
        <f t="shared" si="3"/>
        <v>月見町1-28 ボンジュール大府</v>
      </c>
      <c r="D107" s="7" t="s">
        <v>381</v>
      </c>
      <c r="E107" s="7" t="s">
        <v>382</v>
      </c>
      <c r="F107" s="7" t="s">
        <v>60</v>
      </c>
      <c r="G107" s="7" t="s">
        <v>383</v>
      </c>
      <c r="H107" s="7" t="s">
        <v>14</v>
      </c>
      <c r="I107" s="7" t="s">
        <v>34</v>
      </c>
      <c r="J107" s="7" t="s">
        <v>41</v>
      </c>
      <c r="K107" s="8"/>
      <c r="L107" s="8"/>
    </row>
    <row r="108">
      <c r="A108" s="5" t="str">
        <f t="shared" si="1"/>
        <v>愛知県</v>
      </c>
      <c r="B108" s="6" t="str">
        <f t="shared" si="2"/>
        <v>あま市</v>
      </c>
      <c r="C108" s="6" t="str">
        <f t="shared" si="3"/>
        <v>小橋方南山西154-2 小橋方コーポラスB棟</v>
      </c>
      <c r="D108" s="7" t="s">
        <v>384</v>
      </c>
      <c r="E108" s="7" t="s">
        <v>385</v>
      </c>
      <c r="F108" s="7" t="s">
        <v>26</v>
      </c>
      <c r="G108" s="7" t="s">
        <v>386</v>
      </c>
      <c r="H108" s="7" t="s">
        <v>14</v>
      </c>
      <c r="I108" s="7" t="s">
        <v>34</v>
      </c>
      <c r="J108" s="7" t="s">
        <v>41</v>
      </c>
      <c r="K108" s="7" t="s">
        <v>387</v>
      </c>
      <c r="L108" s="8"/>
    </row>
    <row r="109">
      <c r="A109" s="5" t="str">
        <f t="shared" si="1"/>
        <v>愛知県</v>
      </c>
      <c r="B109" s="6" t="str">
        <f t="shared" si="2"/>
        <v>尾張旭市</v>
      </c>
      <c r="C109" s="6" t="str">
        <f t="shared" si="3"/>
        <v>瀬戸川町2-80 ロータスフラワー</v>
      </c>
      <c r="D109" s="7" t="s">
        <v>388</v>
      </c>
      <c r="E109" s="7" t="s">
        <v>389</v>
      </c>
      <c r="F109" s="7" t="s">
        <v>26</v>
      </c>
      <c r="G109" s="7" t="s">
        <v>390</v>
      </c>
      <c r="H109" s="7" t="s">
        <v>14</v>
      </c>
      <c r="I109" s="7" t="s">
        <v>34</v>
      </c>
      <c r="J109" s="7" t="s">
        <v>41</v>
      </c>
      <c r="K109" s="7" t="s">
        <v>391</v>
      </c>
      <c r="L109" s="8"/>
    </row>
    <row r="110">
      <c r="A110" s="5" t="str">
        <f t="shared" si="1"/>
        <v>愛知県</v>
      </c>
      <c r="B110" s="6" t="str">
        <f t="shared" si="2"/>
        <v>海部郡</v>
      </c>
      <c r="C110" s="6" t="str">
        <f t="shared" si="3"/>
        <v>蟹江町富吉4丁目139 近鉄富吉コーポB棟</v>
      </c>
      <c r="D110" s="7" t="s">
        <v>392</v>
      </c>
      <c r="E110" s="7" t="s">
        <v>393</v>
      </c>
      <c r="F110" s="7" t="s">
        <v>26</v>
      </c>
      <c r="G110" s="7" t="s">
        <v>394</v>
      </c>
      <c r="H110" s="7" t="s">
        <v>14</v>
      </c>
      <c r="I110" s="7" t="s">
        <v>34</v>
      </c>
      <c r="J110" s="7" t="s">
        <v>41</v>
      </c>
      <c r="K110" s="7" t="s">
        <v>359</v>
      </c>
      <c r="L110" s="8"/>
    </row>
    <row r="111">
      <c r="A111" s="5" t="str">
        <f t="shared" si="1"/>
        <v>愛知県</v>
      </c>
      <c r="B111" s="6" t="str">
        <f t="shared" si="2"/>
        <v>長久手市</v>
      </c>
      <c r="C111" s="6" t="str">
        <f t="shared" si="3"/>
        <v>東狭間912 ガーデンハイツエクレール</v>
      </c>
      <c r="D111" s="7" t="s">
        <v>395</v>
      </c>
      <c r="E111" s="7" t="s">
        <v>396</v>
      </c>
      <c r="F111" s="7" t="s">
        <v>12</v>
      </c>
      <c r="G111" s="7" t="s">
        <v>397</v>
      </c>
      <c r="H111" s="7" t="s">
        <v>14</v>
      </c>
      <c r="I111" s="7" t="s">
        <v>34</v>
      </c>
      <c r="J111" s="7" t="s">
        <v>41</v>
      </c>
      <c r="K111" s="7" t="s">
        <v>398</v>
      </c>
      <c r="L111" s="8"/>
    </row>
    <row r="112">
      <c r="A112" s="5" t="str">
        <f t="shared" si="1"/>
        <v>愛知県</v>
      </c>
      <c r="B112" s="6" t="str">
        <f t="shared" si="2"/>
        <v>瀬戸市</v>
      </c>
      <c r="C112" s="6" t="str">
        <f t="shared" si="3"/>
        <v>瀬戸口町111 ブリード瀬戸口</v>
      </c>
      <c r="D112" s="7" t="s">
        <v>399</v>
      </c>
      <c r="E112" s="7" t="s">
        <v>400</v>
      </c>
      <c r="F112" s="7" t="s">
        <v>26</v>
      </c>
      <c r="G112" s="7" t="s">
        <v>401</v>
      </c>
      <c r="H112" s="7" t="s">
        <v>14</v>
      </c>
      <c r="I112" s="7" t="s">
        <v>34</v>
      </c>
      <c r="J112" s="7" t="s">
        <v>41</v>
      </c>
      <c r="K112" s="7" t="s">
        <v>402</v>
      </c>
      <c r="L112" s="8"/>
    </row>
    <row r="113">
      <c r="A113" s="5" t="str">
        <f t="shared" si="1"/>
        <v>岐阜県</v>
      </c>
      <c r="B113" s="6" t="str">
        <f t="shared" si="2"/>
        <v>瑞穂市</v>
      </c>
      <c r="C113" s="6" t="str">
        <f t="shared" si="3"/>
        <v>野田新田4128-2 品川第2ビル</v>
      </c>
      <c r="D113" s="7" t="s">
        <v>403</v>
      </c>
      <c r="E113" s="7" t="s">
        <v>404</v>
      </c>
      <c r="F113" s="7" t="s">
        <v>26</v>
      </c>
      <c r="G113" s="7" t="s">
        <v>405</v>
      </c>
      <c r="H113" s="7" t="s">
        <v>40</v>
      </c>
      <c r="I113" s="7" t="s">
        <v>34</v>
      </c>
      <c r="J113" s="7" t="s">
        <v>41</v>
      </c>
      <c r="K113" s="7" t="s">
        <v>372</v>
      </c>
      <c r="L113" s="8"/>
    </row>
    <row r="114">
      <c r="A114" s="5" t="str">
        <f t="shared" si="1"/>
        <v>岐阜県</v>
      </c>
      <c r="B114" s="6" t="str">
        <f t="shared" si="2"/>
        <v>可児市</v>
      </c>
      <c r="C114" s="6" t="str">
        <f t="shared" si="3"/>
        <v>広見6丁目40</v>
      </c>
      <c r="D114" s="7" t="s">
        <v>406</v>
      </c>
      <c r="E114" s="7" t="s">
        <v>407</v>
      </c>
      <c r="F114" s="7" t="s">
        <v>26</v>
      </c>
      <c r="G114" s="7" t="s">
        <v>408</v>
      </c>
      <c r="H114" s="7" t="s">
        <v>40</v>
      </c>
      <c r="I114" s="7" t="s">
        <v>34</v>
      </c>
      <c r="J114" s="7" t="s">
        <v>41</v>
      </c>
      <c r="K114" s="7" t="s">
        <v>409</v>
      </c>
      <c r="L114" s="8"/>
    </row>
    <row r="115">
      <c r="A115" s="5" t="str">
        <f t="shared" si="1"/>
        <v>静岡県</v>
      </c>
      <c r="B115" s="6" t="str">
        <f t="shared" si="2"/>
        <v>中央区</v>
      </c>
      <c r="C115" s="6" t="str">
        <f t="shared" si="3"/>
        <v>海老塚1-10-20</v>
      </c>
      <c r="D115" s="7" t="s">
        <v>410</v>
      </c>
      <c r="E115" s="7" t="s">
        <v>411</v>
      </c>
      <c r="F115" s="7" t="s">
        <v>12</v>
      </c>
      <c r="G115" s="7" t="s">
        <v>412</v>
      </c>
      <c r="H115" s="7" t="s">
        <v>33</v>
      </c>
      <c r="I115" s="7" t="s">
        <v>34</v>
      </c>
      <c r="J115" s="7" t="s">
        <v>35</v>
      </c>
      <c r="K115" s="7" t="s">
        <v>116</v>
      </c>
      <c r="L115" s="8"/>
    </row>
    <row r="116">
      <c r="A116" s="5" t="str">
        <f t="shared" si="1"/>
        <v>静岡県</v>
      </c>
      <c r="B116" s="6" t="str">
        <f t="shared" si="2"/>
        <v>袋井市</v>
      </c>
      <c r="C116" s="6" t="str">
        <f t="shared" si="3"/>
        <v>高尾746-1 AAI高尾</v>
      </c>
      <c r="D116" s="7" t="s">
        <v>413</v>
      </c>
      <c r="E116" s="16" t="s">
        <v>414</v>
      </c>
      <c r="F116" s="7" t="s">
        <v>179</v>
      </c>
      <c r="G116" s="7" t="s">
        <v>415</v>
      </c>
      <c r="H116" s="7" t="s">
        <v>33</v>
      </c>
      <c r="I116" s="7" t="s">
        <v>34</v>
      </c>
      <c r="J116" s="7" t="s">
        <v>41</v>
      </c>
      <c r="K116" s="12" t="s">
        <v>112</v>
      </c>
      <c r="L116" s="11"/>
    </row>
    <row r="117">
      <c r="A117" s="5" t="str">
        <f t="shared" si="1"/>
        <v>静岡県</v>
      </c>
      <c r="B117" s="6" t="str">
        <f t="shared" si="2"/>
        <v>中央区</v>
      </c>
      <c r="C117" s="6" t="str">
        <f t="shared" si="3"/>
        <v>布橋1丁目17-40 城北パーソナルハイツW</v>
      </c>
      <c r="D117" s="7" t="s">
        <v>416</v>
      </c>
      <c r="E117" s="16" t="s">
        <v>417</v>
      </c>
      <c r="F117" s="7" t="s">
        <v>12</v>
      </c>
      <c r="G117" s="7" t="s">
        <v>418</v>
      </c>
      <c r="H117" s="7" t="s">
        <v>40</v>
      </c>
      <c r="I117" s="7" t="s">
        <v>34</v>
      </c>
      <c r="J117" s="7" t="s">
        <v>35</v>
      </c>
      <c r="K117" s="7" t="s">
        <v>419</v>
      </c>
      <c r="L117" s="8"/>
    </row>
    <row r="118">
      <c r="A118" s="5" t="str">
        <f t="shared" si="1"/>
        <v>静岡県</v>
      </c>
      <c r="B118" s="6" t="str">
        <f t="shared" si="2"/>
        <v>磐田市</v>
      </c>
      <c r="C118" s="6" t="str">
        <f t="shared" si="3"/>
        <v>森下700-11 シミズハイツ</v>
      </c>
      <c r="D118" s="7" t="s">
        <v>420</v>
      </c>
      <c r="E118" s="16" t="s">
        <v>421</v>
      </c>
      <c r="F118" s="7" t="s">
        <v>12</v>
      </c>
      <c r="G118" s="7" t="s">
        <v>422</v>
      </c>
      <c r="H118" s="7" t="s">
        <v>33</v>
      </c>
      <c r="I118" s="7" t="s">
        <v>34</v>
      </c>
      <c r="J118" s="7" t="s">
        <v>35</v>
      </c>
      <c r="K118" s="8"/>
      <c r="L118" s="8"/>
    </row>
    <row r="119">
      <c r="A119" s="5" t="str">
        <f t="shared" si="1"/>
        <v>静岡県</v>
      </c>
      <c r="B119" s="6" t="str">
        <f t="shared" si="2"/>
        <v>掛川市</v>
      </c>
      <c r="C119" s="6" t="str">
        <f t="shared" si="3"/>
        <v>杉谷2-6-12 BellWood</v>
      </c>
      <c r="D119" s="7" t="s">
        <v>423</v>
      </c>
      <c r="E119" s="16" t="s">
        <v>424</v>
      </c>
      <c r="F119" s="7" t="s">
        <v>12</v>
      </c>
      <c r="G119" s="7" t="s">
        <v>425</v>
      </c>
      <c r="H119" s="7" t="s">
        <v>33</v>
      </c>
      <c r="I119" s="7" t="s">
        <v>34</v>
      </c>
      <c r="J119" s="7" t="s">
        <v>35</v>
      </c>
      <c r="K119" s="7" t="s">
        <v>426</v>
      </c>
      <c r="L119" s="8"/>
    </row>
    <row r="120">
      <c r="A120" s="5" t="str">
        <f t="shared" si="1"/>
        <v>静岡県</v>
      </c>
      <c r="B120" s="6" t="str">
        <f t="shared" si="2"/>
        <v>沼津市</v>
      </c>
      <c r="C120" s="6" t="str">
        <f t="shared" si="3"/>
        <v>高沢町9-8 パティオ高沢</v>
      </c>
      <c r="D120" s="7" t="s">
        <v>427</v>
      </c>
      <c r="E120" s="7" t="s">
        <v>428</v>
      </c>
      <c r="F120" s="7" t="s">
        <v>12</v>
      </c>
      <c r="G120" s="7" t="s">
        <v>429</v>
      </c>
      <c r="H120" s="7" t="s">
        <v>33</v>
      </c>
      <c r="I120" s="7" t="s">
        <v>34</v>
      </c>
      <c r="J120" s="7" t="s">
        <v>35</v>
      </c>
      <c r="K120" s="7" t="s">
        <v>430</v>
      </c>
      <c r="L120" s="8"/>
    </row>
    <row r="121">
      <c r="A121" s="5" t="str">
        <f t="shared" si="1"/>
        <v>福島県</v>
      </c>
      <c r="B121" s="6" t="str">
        <f t="shared" si="2"/>
        <v>郡山市</v>
      </c>
      <c r="C121" s="6" t="str">
        <f t="shared" si="3"/>
        <v>安積荒井本町441 サンシヤインビル</v>
      </c>
      <c r="D121" s="7" t="s">
        <v>431</v>
      </c>
      <c r="E121" s="7" t="s">
        <v>432</v>
      </c>
      <c r="F121" s="7" t="s">
        <v>31</v>
      </c>
      <c r="G121" s="7" t="s">
        <v>433</v>
      </c>
      <c r="H121" s="7" t="s">
        <v>14</v>
      </c>
      <c r="I121" s="7" t="s">
        <v>65</v>
      </c>
      <c r="J121" s="7" t="s">
        <v>35</v>
      </c>
      <c r="K121" s="7" t="s">
        <v>434</v>
      </c>
      <c r="L121" s="8"/>
    </row>
    <row r="122">
      <c r="A122" s="5" t="str">
        <f t="shared" si="1"/>
        <v>兵庫県</v>
      </c>
      <c r="B122" s="6" t="str">
        <f t="shared" si="2"/>
        <v>西宮市</v>
      </c>
      <c r="C122" s="6" t="str">
        <f t="shared" si="3"/>
        <v>深津町3-3 ダイドーメゾン西宮北口10</v>
      </c>
      <c r="D122" s="7" t="s">
        <v>435</v>
      </c>
      <c r="E122" s="7" t="s">
        <v>436</v>
      </c>
      <c r="F122" s="7" t="s">
        <v>31</v>
      </c>
      <c r="G122" s="7" t="s">
        <v>437</v>
      </c>
      <c r="H122" s="7" t="s">
        <v>33</v>
      </c>
      <c r="I122" s="7" t="s">
        <v>34</v>
      </c>
      <c r="J122" s="7" t="s">
        <v>35</v>
      </c>
      <c r="K122" s="7" t="s">
        <v>36</v>
      </c>
      <c r="L122" s="8"/>
    </row>
    <row r="123">
      <c r="A123" s="5" t="str">
        <f t="shared" si="1"/>
        <v>兵庫県</v>
      </c>
      <c r="B123" s="6" t="str">
        <f t="shared" si="2"/>
        <v>姫路市</v>
      </c>
      <c r="C123" s="6" t="str">
        <f t="shared" si="3"/>
        <v>広畑区東新町1-38-1 デアリックス広畑</v>
      </c>
      <c r="D123" s="7" t="s">
        <v>438</v>
      </c>
      <c r="E123" s="7" t="s">
        <v>439</v>
      </c>
      <c r="F123" s="7" t="s">
        <v>31</v>
      </c>
      <c r="G123" s="7" t="s">
        <v>440</v>
      </c>
      <c r="H123" s="7" t="s">
        <v>33</v>
      </c>
      <c r="I123" s="7" t="s">
        <v>34</v>
      </c>
      <c r="J123" s="7" t="s">
        <v>35</v>
      </c>
      <c r="K123" s="7" t="s">
        <v>36</v>
      </c>
      <c r="L123" s="8"/>
    </row>
    <row r="124">
      <c r="A124" s="5" t="str">
        <f t="shared" si="1"/>
        <v>兵庫県</v>
      </c>
      <c r="B124" s="6" t="str">
        <f t="shared" si="2"/>
        <v>姫路市</v>
      </c>
      <c r="C124" s="6" t="str">
        <f t="shared" si="3"/>
        <v/>
      </c>
      <c r="D124" s="7" t="s">
        <v>441</v>
      </c>
      <c r="E124" s="7" t="s">
        <v>442</v>
      </c>
      <c r="F124" s="7" t="s">
        <v>26</v>
      </c>
      <c r="G124" s="7" t="s">
        <v>443</v>
      </c>
      <c r="H124" s="7" t="s">
        <v>14</v>
      </c>
      <c r="I124" s="7" t="s">
        <v>34</v>
      </c>
      <c r="J124" s="8"/>
      <c r="K124" s="8"/>
      <c r="L124" s="8"/>
    </row>
    <row r="125">
      <c r="A125" s="5" t="str">
        <f t="shared" si="1"/>
        <v>長野県</v>
      </c>
      <c r="B125" s="6" t="str">
        <f t="shared" si="2"/>
        <v>長野市</v>
      </c>
      <c r="C125" s="6" t="str">
        <f t="shared" si="3"/>
        <v>大字長野東町132 アシスト長野マンション</v>
      </c>
      <c r="D125" s="7" t="s">
        <v>444</v>
      </c>
      <c r="E125" s="7" t="s">
        <v>445</v>
      </c>
      <c r="F125" s="7" t="s">
        <v>26</v>
      </c>
      <c r="G125" s="7" t="s">
        <v>446</v>
      </c>
      <c r="H125" s="7" t="s">
        <v>33</v>
      </c>
      <c r="I125" s="7" t="s">
        <v>34</v>
      </c>
      <c r="J125" s="7" t="s">
        <v>35</v>
      </c>
      <c r="K125" s="8"/>
      <c r="L125" s="8"/>
    </row>
    <row r="126">
      <c r="A126" s="5" t="str">
        <f t="shared" si="1"/>
        <v>長野県</v>
      </c>
      <c r="B126" s="6" t="str">
        <f t="shared" si="2"/>
        <v>松本市</v>
      </c>
      <c r="C126" s="6" t="str">
        <f t="shared" si="3"/>
        <v>中央1丁目2-7 大東プラザニュー伊勢町</v>
      </c>
      <c r="D126" s="7" t="s">
        <v>447</v>
      </c>
      <c r="E126" s="7" t="s">
        <v>448</v>
      </c>
      <c r="F126" s="7" t="s">
        <v>26</v>
      </c>
      <c r="G126" s="7" t="s">
        <v>449</v>
      </c>
      <c r="H126" s="7" t="s">
        <v>14</v>
      </c>
      <c r="I126" s="7" t="s">
        <v>34</v>
      </c>
      <c r="J126" s="7" t="s">
        <v>41</v>
      </c>
      <c r="K126" s="8"/>
      <c r="L126" s="8"/>
    </row>
    <row r="127">
      <c r="A127" s="5" t="str">
        <f t="shared" si="1"/>
        <v>長野県</v>
      </c>
      <c r="B127" s="6" t="str">
        <f t="shared" si="2"/>
        <v>上田市</v>
      </c>
      <c r="C127" s="6" t="str">
        <f t="shared" si="3"/>
        <v>上塩尻226-1 ザ・グレイス・シグマ</v>
      </c>
      <c r="D127" s="7" t="s">
        <v>450</v>
      </c>
      <c r="E127" s="7" t="s">
        <v>451</v>
      </c>
      <c r="F127" s="7" t="s">
        <v>31</v>
      </c>
      <c r="G127" s="7" t="s">
        <v>452</v>
      </c>
      <c r="H127" s="7" t="s">
        <v>33</v>
      </c>
      <c r="I127" s="7" t="s">
        <v>34</v>
      </c>
      <c r="J127" s="7" t="s">
        <v>41</v>
      </c>
      <c r="K127" s="12" t="s">
        <v>112</v>
      </c>
      <c r="L127" s="11"/>
    </row>
    <row r="128">
      <c r="A128" s="5" t="str">
        <f t="shared" si="1"/>
        <v>宮城県</v>
      </c>
      <c r="B128" s="6" t="str">
        <f t="shared" si="2"/>
        <v>石巻市</v>
      </c>
      <c r="C128" s="6" t="str">
        <f t="shared" si="3"/>
        <v>中央3丁目5-22 メゾン・ド・コパン</v>
      </c>
      <c r="D128" s="7" t="s">
        <v>453</v>
      </c>
      <c r="E128" s="7" t="s">
        <v>454</v>
      </c>
      <c r="F128" s="7" t="s">
        <v>12</v>
      </c>
      <c r="G128" s="7" t="s">
        <v>455</v>
      </c>
      <c r="H128" s="7" t="s">
        <v>33</v>
      </c>
      <c r="I128" s="7" t="s">
        <v>34</v>
      </c>
      <c r="J128" s="7" t="s">
        <v>35</v>
      </c>
      <c r="K128" s="8"/>
      <c r="L128" s="8"/>
    </row>
    <row r="129">
      <c r="A129" s="5" t="str">
        <f t="shared" si="1"/>
        <v>石川県</v>
      </c>
      <c r="B129" s="6" t="str">
        <f t="shared" si="2"/>
        <v>金沢市</v>
      </c>
      <c r="C129" s="6" t="str">
        <f t="shared" si="3"/>
        <v>此花町3-3 ライブ1</v>
      </c>
      <c r="D129" s="7" t="s">
        <v>456</v>
      </c>
      <c r="E129" s="7" t="s">
        <v>457</v>
      </c>
      <c r="F129" s="7" t="s">
        <v>12</v>
      </c>
      <c r="G129" s="7" t="s">
        <v>458</v>
      </c>
      <c r="H129" s="7" t="s">
        <v>33</v>
      </c>
      <c r="I129" s="7" t="s">
        <v>34</v>
      </c>
      <c r="J129" s="7" t="s">
        <v>35</v>
      </c>
      <c r="K129" s="8"/>
      <c r="L129" s="8"/>
    </row>
    <row r="130">
      <c r="A130" s="5" t="str">
        <f t="shared" si="1"/>
        <v>滋賀県</v>
      </c>
      <c r="B130" s="6" t="str">
        <f t="shared" si="2"/>
        <v>大津市</v>
      </c>
      <c r="C130" s="6" t="str">
        <f t="shared" si="3"/>
        <v>中央1丁目2-35 アセンティアびわこ</v>
      </c>
      <c r="D130" s="7" t="s">
        <v>459</v>
      </c>
      <c r="E130" s="7" t="s">
        <v>460</v>
      </c>
      <c r="F130" s="7" t="s">
        <v>12</v>
      </c>
      <c r="G130" s="7" t="s">
        <v>461</v>
      </c>
      <c r="H130" s="7" t="s">
        <v>33</v>
      </c>
      <c r="I130" s="7" t="s">
        <v>34</v>
      </c>
      <c r="J130" s="7" t="s">
        <v>35</v>
      </c>
      <c r="K130" s="8"/>
      <c r="L130" s="8"/>
    </row>
    <row r="131">
      <c r="A131" s="5" t="str">
        <f t="shared" si="1"/>
        <v>徳島県</v>
      </c>
      <c r="B131" s="6" t="str">
        <f t="shared" si="2"/>
        <v>徳島市</v>
      </c>
      <c r="C131" s="6" t="str">
        <f t="shared" si="3"/>
        <v>銀座10 福助ビル第63</v>
      </c>
      <c r="D131" s="7" t="s">
        <v>462</v>
      </c>
      <c r="E131" s="7" t="s">
        <v>463</v>
      </c>
      <c r="F131" s="7" t="s">
        <v>190</v>
      </c>
      <c r="G131" s="7" t="s">
        <v>464</v>
      </c>
      <c r="H131" s="7" t="s">
        <v>33</v>
      </c>
      <c r="I131" s="7" t="s">
        <v>34</v>
      </c>
      <c r="J131" s="7" t="s">
        <v>35</v>
      </c>
      <c r="K131" s="7" t="s">
        <v>116</v>
      </c>
      <c r="L131" s="8"/>
    </row>
    <row r="132">
      <c r="A132" s="5" t="str">
        <f t="shared" si="1"/>
        <v>青森県</v>
      </c>
      <c r="B132" s="6" t="str">
        <f t="shared" si="2"/>
        <v>青森市</v>
      </c>
      <c r="C132" s="6" t="str">
        <f t="shared" si="3"/>
        <v>安方1丁目9-16 エクセルビュー</v>
      </c>
      <c r="D132" s="7" t="s">
        <v>465</v>
      </c>
      <c r="E132" s="7" t="s">
        <v>466</v>
      </c>
      <c r="F132" s="7" t="s">
        <v>7</v>
      </c>
      <c r="G132" s="7" t="s">
        <v>467</v>
      </c>
      <c r="H132" s="7" t="s">
        <v>33</v>
      </c>
      <c r="I132" s="7" t="s">
        <v>34</v>
      </c>
      <c r="J132" s="7" t="s">
        <v>35</v>
      </c>
      <c r="K132" s="17"/>
      <c r="L132" s="17"/>
    </row>
    <row r="133">
      <c r="A133" s="5" t="str">
        <f t="shared" si="1"/>
        <v>新潟県</v>
      </c>
      <c r="B133" s="6" t="str">
        <f t="shared" si="2"/>
        <v>長岡市</v>
      </c>
      <c r="C133" s="6" t="str">
        <f t="shared" si="3"/>
        <v>渡里町4-5 オクトワール長岡中央</v>
      </c>
      <c r="D133" s="7" t="s">
        <v>468</v>
      </c>
      <c r="E133" s="7" t="s">
        <v>469</v>
      </c>
      <c r="F133" s="7" t="s">
        <v>60</v>
      </c>
      <c r="G133" s="7" t="s">
        <v>470</v>
      </c>
      <c r="H133" s="7" t="s">
        <v>33</v>
      </c>
      <c r="I133" s="7" t="s">
        <v>34</v>
      </c>
      <c r="J133" s="7" t="s">
        <v>35</v>
      </c>
      <c r="K133" s="18" t="s">
        <v>471</v>
      </c>
      <c r="L133" s="17"/>
    </row>
    <row r="134">
      <c r="A134" s="5" t="str">
        <f t="shared" si="1"/>
        <v/>
      </c>
      <c r="B134" s="6" t="str">
        <f t="shared" si="2"/>
        <v/>
      </c>
      <c r="C134" s="6" t="str">
        <f t="shared" si="3"/>
        <v/>
      </c>
      <c r="D134" s="19"/>
      <c r="E134" s="19"/>
      <c r="F134" s="19"/>
      <c r="G134" s="19"/>
      <c r="H134" s="19"/>
      <c r="I134" s="19"/>
      <c r="J134" s="20"/>
      <c r="K134" s="19"/>
      <c r="L134" s="21"/>
    </row>
    <row r="135">
      <c r="A135" s="5" t="str">
        <f t="shared" si="1"/>
        <v/>
      </c>
      <c r="B135" s="6" t="str">
        <f t="shared" si="2"/>
        <v/>
      </c>
      <c r="C135" s="6" t="str">
        <f t="shared" si="3"/>
        <v/>
      </c>
      <c r="D135" s="19"/>
      <c r="E135" s="19"/>
      <c r="F135" s="19"/>
      <c r="G135" s="19"/>
      <c r="H135" s="19"/>
      <c r="I135" s="19"/>
      <c r="J135" s="20"/>
      <c r="K135" s="19"/>
      <c r="L135" s="21"/>
    </row>
    <row r="136">
      <c r="A136" s="5" t="str">
        <f t="shared" si="1"/>
        <v/>
      </c>
      <c r="B136" s="6" t="str">
        <f t="shared" si="2"/>
        <v/>
      </c>
      <c r="C136" s="6" t="str">
        <f t="shared" si="3"/>
        <v/>
      </c>
      <c r="D136" s="19"/>
      <c r="E136" s="19"/>
      <c r="F136" s="19"/>
      <c r="G136" s="19"/>
      <c r="H136" s="19"/>
      <c r="I136" s="19"/>
      <c r="J136" s="20"/>
      <c r="K136" s="19"/>
      <c r="L136" s="20"/>
    </row>
    <row r="137">
      <c r="A137" s="5" t="str">
        <f t="shared" si="1"/>
        <v/>
      </c>
      <c r="B137" s="6" t="str">
        <f t="shared" si="2"/>
        <v/>
      </c>
      <c r="C137" s="6" t="str">
        <f t="shared" si="3"/>
        <v/>
      </c>
      <c r="D137" s="19"/>
      <c r="E137" s="19"/>
      <c r="F137" s="19"/>
      <c r="G137" s="19"/>
      <c r="H137" s="19"/>
      <c r="I137" s="19"/>
      <c r="J137" s="19"/>
      <c r="K137" s="19"/>
      <c r="L137" s="20"/>
    </row>
    <row r="138">
      <c r="A138" s="5" t="str">
        <f t="shared" si="1"/>
        <v/>
      </c>
      <c r="B138" s="6" t="str">
        <f t="shared" si="2"/>
        <v/>
      </c>
      <c r="C138" s="6" t="str">
        <f t="shared" si="3"/>
        <v/>
      </c>
      <c r="D138" s="19"/>
      <c r="E138" s="19"/>
      <c r="F138" s="19"/>
      <c r="G138" s="19"/>
      <c r="H138" s="19"/>
      <c r="I138" s="19"/>
      <c r="J138" s="19"/>
      <c r="K138" s="20"/>
      <c r="L138" s="20"/>
    </row>
    <row r="139">
      <c r="A139" s="5" t="str">
        <f t="shared" si="1"/>
        <v/>
      </c>
      <c r="B139" s="6" t="str">
        <f t="shared" si="2"/>
        <v/>
      </c>
      <c r="C139" s="6" t="str">
        <f t="shared" si="3"/>
        <v/>
      </c>
      <c r="D139" s="19"/>
      <c r="E139" s="19"/>
      <c r="F139" s="19"/>
      <c r="G139" s="19"/>
      <c r="H139" s="19"/>
      <c r="I139" s="19"/>
      <c r="J139" s="19"/>
      <c r="K139" s="20"/>
      <c r="L139" s="20"/>
    </row>
    <row r="140">
      <c r="A140" s="5" t="str">
        <f t="shared" si="1"/>
        <v/>
      </c>
      <c r="B140" s="6" t="str">
        <f t="shared" si="2"/>
        <v/>
      </c>
      <c r="C140" s="6" t="str">
        <f t="shared" si="3"/>
        <v/>
      </c>
      <c r="D140" s="19"/>
      <c r="E140" s="19"/>
      <c r="F140" s="19"/>
      <c r="G140" s="19"/>
      <c r="H140" s="19"/>
      <c r="I140" s="19"/>
      <c r="J140" s="19"/>
      <c r="K140" s="20"/>
      <c r="L140" s="20"/>
    </row>
    <row r="141">
      <c r="A141" s="5" t="str">
        <f t="shared" si="1"/>
        <v/>
      </c>
      <c r="B141" s="6" t="str">
        <f t="shared" si="2"/>
        <v/>
      </c>
      <c r="C141" s="6" t="str">
        <f t="shared" si="3"/>
        <v/>
      </c>
      <c r="D141" s="19"/>
      <c r="E141" s="19"/>
      <c r="F141" s="19"/>
      <c r="G141" s="19"/>
      <c r="H141" s="19"/>
      <c r="I141" s="19"/>
      <c r="J141" s="20"/>
      <c r="K141" s="19"/>
      <c r="L141" s="20"/>
    </row>
    <row r="142">
      <c r="A142" s="5" t="str">
        <f t="shared" si="1"/>
        <v/>
      </c>
      <c r="B142" s="6" t="str">
        <f t="shared" si="2"/>
        <v/>
      </c>
      <c r="C142" s="6" t="str">
        <f t="shared" si="3"/>
        <v/>
      </c>
      <c r="D142" s="19"/>
      <c r="E142" s="19"/>
      <c r="F142" s="19"/>
      <c r="G142" s="19"/>
      <c r="H142" s="19"/>
      <c r="I142" s="19"/>
      <c r="J142" s="20"/>
      <c r="K142" s="19"/>
      <c r="L142" s="20"/>
    </row>
    <row r="143">
      <c r="A143" s="5" t="str">
        <f t="shared" si="1"/>
        <v/>
      </c>
      <c r="B143" s="6" t="str">
        <f t="shared" si="2"/>
        <v/>
      </c>
      <c r="C143" s="6" t="str">
        <f t="shared" si="3"/>
        <v/>
      </c>
      <c r="D143" s="19"/>
      <c r="E143" s="19"/>
      <c r="F143" s="19"/>
      <c r="G143" s="19"/>
      <c r="H143" s="19"/>
      <c r="I143" s="19"/>
      <c r="J143" s="20"/>
      <c r="K143" s="19"/>
      <c r="L143" s="20"/>
    </row>
    <row r="144">
      <c r="A144" s="5" t="str">
        <f t="shared" si="1"/>
        <v/>
      </c>
      <c r="B144" s="6" t="str">
        <f t="shared" si="2"/>
        <v/>
      </c>
      <c r="C144" s="6" t="str">
        <f t="shared" si="3"/>
        <v/>
      </c>
      <c r="D144" s="19"/>
      <c r="E144" s="19"/>
      <c r="F144" s="19"/>
      <c r="G144" s="19"/>
      <c r="H144" s="19"/>
      <c r="I144" s="19"/>
      <c r="J144" s="20"/>
      <c r="K144" s="19"/>
      <c r="L144" s="20"/>
    </row>
    <row r="145">
      <c r="A145" s="5" t="str">
        <f t="shared" si="1"/>
        <v/>
      </c>
      <c r="B145" s="6" t="str">
        <f t="shared" si="2"/>
        <v/>
      </c>
      <c r="C145" s="6" t="str">
        <f t="shared" si="3"/>
        <v/>
      </c>
      <c r="D145" s="19"/>
      <c r="E145" s="19"/>
      <c r="F145" s="19"/>
      <c r="G145" s="19"/>
      <c r="H145" s="19"/>
      <c r="I145" s="19"/>
      <c r="J145" s="19"/>
      <c r="K145" s="19"/>
      <c r="L145" s="20"/>
    </row>
    <row r="146">
      <c r="A146" s="5" t="str">
        <f t="shared" si="1"/>
        <v/>
      </c>
      <c r="B146" s="6" t="str">
        <f t="shared" si="2"/>
        <v/>
      </c>
      <c r="C146" s="6" t="str">
        <f t="shared" si="3"/>
        <v/>
      </c>
      <c r="D146" s="19"/>
      <c r="E146" s="19"/>
      <c r="F146" s="19"/>
      <c r="G146" s="19"/>
      <c r="H146" s="19"/>
      <c r="I146" s="19"/>
      <c r="J146" s="20"/>
      <c r="K146" s="20"/>
      <c r="L146" s="20"/>
    </row>
    <row r="147">
      <c r="A147" s="5" t="str">
        <f t="shared" si="1"/>
        <v/>
      </c>
      <c r="B147" s="6" t="str">
        <f t="shared" si="2"/>
        <v/>
      </c>
      <c r="C147" s="6" t="str">
        <f t="shared" si="3"/>
        <v/>
      </c>
      <c r="D147" s="19"/>
      <c r="E147" s="19"/>
      <c r="F147" s="19"/>
      <c r="G147" s="19"/>
      <c r="H147" s="19"/>
      <c r="I147" s="19"/>
      <c r="J147" s="20"/>
      <c r="K147" s="20"/>
      <c r="L147" s="20"/>
    </row>
    <row r="148">
      <c r="A148" s="5" t="str">
        <f t="shared" si="1"/>
        <v/>
      </c>
      <c r="B148" s="6" t="str">
        <f t="shared" si="2"/>
        <v/>
      </c>
      <c r="C148" s="6" t="str">
        <f t="shared" si="3"/>
        <v/>
      </c>
      <c r="D148" s="19"/>
      <c r="E148" s="19"/>
      <c r="F148" s="19"/>
      <c r="G148" s="19"/>
      <c r="H148" s="19"/>
      <c r="I148" s="19"/>
      <c r="J148" s="20"/>
      <c r="K148" s="19"/>
      <c r="L148" s="20"/>
    </row>
    <row r="149">
      <c r="A149" s="5" t="str">
        <f t="shared" si="1"/>
        <v/>
      </c>
      <c r="B149" s="6" t="str">
        <f t="shared" si="2"/>
        <v/>
      </c>
      <c r="C149" s="6" t="str">
        <f t="shared" si="3"/>
        <v/>
      </c>
      <c r="D149" s="19"/>
      <c r="E149" s="19"/>
      <c r="F149" s="19"/>
      <c r="G149" s="19"/>
      <c r="H149" s="19"/>
      <c r="I149" s="19"/>
      <c r="J149" s="20"/>
      <c r="K149" s="19"/>
      <c r="L149" s="20"/>
    </row>
    <row r="150">
      <c r="A150" s="5" t="str">
        <f t="shared" si="1"/>
        <v/>
      </c>
      <c r="B150" s="6" t="str">
        <f t="shared" si="2"/>
        <v/>
      </c>
      <c r="C150" s="6" t="str">
        <f t="shared" si="3"/>
        <v/>
      </c>
      <c r="D150" s="19"/>
      <c r="E150" s="19"/>
      <c r="F150" s="19"/>
      <c r="G150" s="19"/>
      <c r="H150" s="19"/>
      <c r="I150" s="19"/>
      <c r="J150" s="19"/>
      <c r="K150" s="20"/>
      <c r="L150" s="20"/>
    </row>
    <row r="151">
      <c r="A151" s="5" t="str">
        <f t="shared" si="1"/>
        <v/>
      </c>
      <c r="B151" s="6" t="str">
        <f t="shared" si="2"/>
        <v/>
      </c>
      <c r="C151" s="6" t="str">
        <f t="shared" si="3"/>
        <v/>
      </c>
      <c r="D151" s="19"/>
      <c r="E151" s="19"/>
      <c r="F151" s="19"/>
      <c r="G151" s="19"/>
      <c r="H151" s="19"/>
      <c r="I151" s="19"/>
      <c r="J151" s="20"/>
      <c r="K151" s="19"/>
      <c r="L151" s="20"/>
    </row>
    <row r="152">
      <c r="A152" s="5" t="str">
        <f t="shared" si="1"/>
        <v/>
      </c>
      <c r="B152" s="6" t="str">
        <f t="shared" si="2"/>
        <v/>
      </c>
      <c r="C152" s="6" t="str">
        <f t="shared" si="3"/>
        <v/>
      </c>
      <c r="D152" s="19"/>
      <c r="E152" s="19"/>
      <c r="F152" s="19"/>
      <c r="G152" s="19"/>
      <c r="H152" s="19"/>
      <c r="I152" s="20"/>
      <c r="J152" s="20"/>
      <c r="K152" s="20"/>
      <c r="L152" s="20"/>
    </row>
    <row r="153">
      <c r="A153" s="5" t="str">
        <f t="shared" si="1"/>
        <v/>
      </c>
      <c r="B153" s="6" t="str">
        <f t="shared" si="2"/>
        <v/>
      </c>
      <c r="C153" s="6" t="str">
        <f t="shared" si="3"/>
        <v/>
      </c>
      <c r="D153" s="19"/>
      <c r="E153" s="19"/>
      <c r="F153" s="19"/>
      <c r="G153" s="19"/>
      <c r="H153" s="19"/>
      <c r="I153" s="20"/>
      <c r="J153" s="20"/>
      <c r="K153" s="19"/>
      <c r="L153" s="20"/>
    </row>
    <row r="154">
      <c r="A154" s="5" t="str">
        <f t="shared" si="1"/>
        <v/>
      </c>
      <c r="B154" s="6" t="str">
        <f t="shared" si="2"/>
        <v/>
      </c>
      <c r="C154" s="6" t="str">
        <f t="shared" si="3"/>
        <v/>
      </c>
      <c r="D154" s="19"/>
      <c r="E154" s="19"/>
      <c r="F154" s="19"/>
      <c r="G154" s="19"/>
      <c r="H154" s="19"/>
      <c r="I154" s="19"/>
      <c r="J154" s="19"/>
      <c r="K154" s="20"/>
      <c r="L154" s="20"/>
    </row>
    <row r="155">
      <c r="A155" s="5" t="str">
        <f t="shared" si="1"/>
        <v/>
      </c>
      <c r="B155" s="6" t="str">
        <f t="shared" si="2"/>
        <v/>
      </c>
      <c r="C155" s="6" t="str">
        <f t="shared" si="3"/>
        <v/>
      </c>
      <c r="D155" s="19"/>
      <c r="E155" s="19"/>
      <c r="F155" s="19"/>
      <c r="G155" s="19"/>
      <c r="H155" s="19"/>
      <c r="I155" s="19"/>
      <c r="J155" s="19"/>
      <c r="K155" s="20"/>
      <c r="L155" s="20"/>
    </row>
    <row r="156">
      <c r="A156" s="5" t="str">
        <f t="shared" si="1"/>
        <v/>
      </c>
      <c r="B156" s="6" t="str">
        <f t="shared" si="2"/>
        <v/>
      </c>
      <c r="C156" s="6" t="str">
        <f t="shared" si="3"/>
        <v/>
      </c>
      <c r="D156" s="19"/>
      <c r="E156" s="19"/>
      <c r="F156" s="19"/>
      <c r="G156" s="19"/>
      <c r="H156" s="19"/>
      <c r="I156" s="19"/>
      <c r="J156" s="19"/>
      <c r="K156" s="19"/>
      <c r="L156" s="20"/>
    </row>
    <row r="157">
      <c r="A157" s="5" t="str">
        <f t="shared" si="1"/>
        <v/>
      </c>
      <c r="B157" s="6" t="str">
        <f t="shared" si="2"/>
        <v/>
      </c>
      <c r="C157" s="6" t="str">
        <f t="shared" si="3"/>
        <v/>
      </c>
      <c r="D157" s="19"/>
      <c r="E157" s="19"/>
      <c r="F157" s="19"/>
      <c r="G157" s="19"/>
      <c r="H157" s="19"/>
      <c r="I157" s="19"/>
      <c r="J157" s="19"/>
      <c r="K157" s="19"/>
      <c r="L157" s="20"/>
    </row>
    <row r="158">
      <c r="A158" s="5" t="str">
        <f t="shared" si="1"/>
        <v/>
      </c>
      <c r="B158" s="6" t="str">
        <f t="shared" si="2"/>
        <v/>
      </c>
      <c r="C158" s="6" t="str">
        <f t="shared" si="3"/>
        <v/>
      </c>
      <c r="D158" s="19"/>
      <c r="E158" s="19"/>
      <c r="F158" s="19"/>
      <c r="G158" s="19"/>
      <c r="H158" s="19"/>
      <c r="I158" s="19"/>
      <c r="J158" s="19"/>
      <c r="K158" s="20"/>
      <c r="L158" s="20"/>
    </row>
    <row r="159">
      <c r="A159" s="5" t="str">
        <f t="shared" si="1"/>
        <v/>
      </c>
      <c r="B159" s="6" t="str">
        <f t="shared" si="2"/>
        <v/>
      </c>
      <c r="C159" s="6" t="str">
        <f t="shared" si="3"/>
        <v/>
      </c>
      <c r="D159" s="19"/>
      <c r="E159" s="19"/>
      <c r="F159" s="19"/>
      <c r="G159" s="19"/>
      <c r="H159" s="19"/>
      <c r="I159" s="19"/>
      <c r="J159" s="20"/>
      <c r="K159" s="20"/>
      <c r="L159" s="20"/>
    </row>
    <row r="160">
      <c r="A160" s="5" t="str">
        <f t="shared" si="1"/>
        <v/>
      </c>
      <c r="B160" s="6" t="str">
        <f t="shared" si="2"/>
        <v/>
      </c>
      <c r="C160" s="6" t="str">
        <f t="shared" si="3"/>
        <v/>
      </c>
      <c r="D160" s="19"/>
      <c r="E160" s="19"/>
      <c r="F160" s="19"/>
      <c r="G160" s="19"/>
      <c r="H160" s="19"/>
      <c r="I160" s="19"/>
      <c r="J160" s="20"/>
      <c r="K160" s="20"/>
      <c r="L160" s="20"/>
    </row>
    <row r="161">
      <c r="A161" s="5" t="str">
        <f t="shared" si="1"/>
        <v/>
      </c>
      <c r="B161" s="6" t="str">
        <f t="shared" si="2"/>
        <v/>
      </c>
      <c r="C161" s="6" t="str">
        <f t="shared" si="3"/>
        <v/>
      </c>
      <c r="D161" s="19"/>
      <c r="E161" s="19"/>
      <c r="F161" s="19"/>
      <c r="G161" s="19"/>
      <c r="H161" s="19"/>
      <c r="I161" s="19"/>
      <c r="J161" s="19"/>
      <c r="K161" s="20"/>
      <c r="L161" s="20"/>
    </row>
    <row r="162">
      <c r="A162" s="5" t="str">
        <f t="shared" si="1"/>
        <v/>
      </c>
      <c r="B162" s="6" t="str">
        <f t="shared" si="2"/>
        <v/>
      </c>
      <c r="C162" s="6" t="str">
        <f t="shared" si="3"/>
        <v/>
      </c>
      <c r="D162" s="19"/>
      <c r="E162" s="19"/>
      <c r="F162" s="19"/>
      <c r="G162" s="19"/>
      <c r="H162" s="19"/>
      <c r="I162" s="19"/>
      <c r="J162" s="19"/>
      <c r="K162" s="20"/>
      <c r="L162" s="20"/>
    </row>
    <row r="163">
      <c r="A163" s="5" t="str">
        <f t="shared" si="1"/>
        <v/>
      </c>
      <c r="B163" s="6" t="str">
        <f t="shared" si="2"/>
        <v/>
      </c>
      <c r="C163" s="6" t="str">
        <f t="shared" si="3"/>
        <v/>
      </c>
      <c r="D163" s="19"/>
      <c r="E163" s="19"/>
      <c r="F163" s="19"/>
      <c r="G163" s="19"/>
      <c r="H163" s="19"/>
      <c r="I163" s="19"/>
      <c r="J163" s="19"/>
      <c r="K163" s="20"/>
      <c r="L163" s="20"/>
    </row>
    <row r="164">
      <c r="A164" s="5" t="str">
        <f t="shared" si="1"/>
        <v/>
      </c>
      <c r="B164" s="6" t="str">
        <f t="shared" si="2"/>
        <v/>
      </c>
      <c r="C164" s="6" t="str">
        <f t="shared" si="3"/>
        <v/>
      </c>
      <c r="D164" s="19"/>
      <c r="E164" s="19"/>
      <c r="F164" s="19"/>
      <c r="G164" s="19"/>
      <c r="H164" s="19"/>
      <c r="I164" s="19"/>
      <c r="J164" s="20"/>
      <c r="K164" s="19"/>
      <c r="L164" s="20"/>
    </row>
    <row r="165">
      <c r="A165" s="5" t="str">
        <f t="shared" si="1"/>
        <v/>
      </c>
      <c r="B165" s="6" t="str">
        <f t="shared" si="2"/>
        <v/>
      </c>
      <c r="C165" s="6" t="str">
        <f t="shared" si="3"/>
        <v/>
      </c>
      <c r="D165" s="19"/>
      <c r="E165" s="19"/>
      <c r="F165" s="19"/>
      <c r="G165" s="19"/>
      <c r="H165" s="19"/>
      <c r="I165" s="19"/>
      <c r="J165" s="20"/>
      <c r="K165" s="19"/>
      <c r="L165" s="20"/>
    </row>
    <row r="166">
      <c r="A166" s="5" t="str">
        <f t="shared" si="1"/>
        <v/>
      </c>
      <c r="B166" s="6" t="str">
        <f t="shared" si="2"/>
        <v/>
      </c>
      <c r="C166" s="6" t="str">
        <f t="shared" si="3"/>
        <v/>
      </c>
      <c r="D166" s="19"/>
      <c r="E166" s="19"/>
      <c r="F166" s="19"/>
      <c r="G166" s="19"/>
      <c r="H166" s="19"/>
      <c r="I166" s="19"/>
      <c r="J166" s="19"/>
      <c r="K166" s="19"/>
      <c r="L166" s="20"/>
    </row>
    <row r="167">
      <c r="A167" s="5" t="str">
        <f t="shared" si="1"/>
        <v/>
      </c>
      <c r="B167" s="6" t="str">
        <f t="shared" si="2"/>
        <v/>
      </c>
      <c r="C167" s="6" t="str">
        <f t="shared" si="3"/>
        <v/>
      </c>
      <c r="D167" s="19"/>
      <c r="E167" s="19"/>
      <c r="F167" s="19"/>
      <c r="G167" s="19"/>
      <c r="H167" s="19"/>
      <c r="I167" s="19"/>
      <c r="J167" s="19"/>
      <c r="K167" s="19"/>
      <c r="L167" s="20"/>
    </row>
    <row r="168">
      <c r="A168" s="5" t="str">
        <f t="shared" si="1"/>
        <v/>
      </c>
      <c r="B168" s="6" t="str">
        <f t="shared" si="2"/>
        <v/>
      </c>
      <c r="C168" s="6" t="str">
        <f t="shared" si="3"/>
        <v/>
      </c>
      <c r="D168" s="19"/>
      <c r="E168" s="19"/>
      <c r="F168" s="19"/>
      <c r="G168" s="19"/>
      <c r="H168" s="19"/>
      <c r="I168" s="19"/>
      <c r="J168" s="19"/>
      <c r="K168" s="20"/>
      <c r="L168" s="20"/>
    </row>
    <row r="169">
      <c r="A169" s="5" t="str">
        <f t="shared" si="1"/>
        <v/>
      </c>
      <c r="B169" s="6" t="str">
        <f t="shared" si="2"/>
        <v/>
      </c>
      <c r="C169" s="6" t="str">
        <f t="shared" si="3"/>
        <v/>
      </c>
      <c r="D169" s="19"/>
      <c r="E169" s="19"/>
      <c r="F169" s="19"/>
      <c r="G169" s="19"/>
      <c r="H169" s="19"/>
      <c r="I169" s="19"/>
      <c r="J169" s="19"/>
      <c r="K169" s="20"/>
      <c r="L169" s="20"/>
    </row>
    <row r="170">
      <c r="A170" s="5" t="str">
        <f t="shared" si="1"/>
        <v/>
      </c>
      <c r="B170" s="6" t="str">
        <f t="shared" si="2"/>
        <v/>
      </c>
      <c r="C170" s="6" t="str">
        <f t="shared" si="3"/>
        <v/>
      </c>
      <c r="D170" s="19"/>
      <c r="E170" s="19"/>
      <c r="F170" s="19"/>
      <c r="G170" s="19"/>
      <c r="H170" s="19"/>
      <c r="I170" s="19"/>
      <c r="J170" s="19"/>
      <c r="K170" s="20"/>
      <c r="L170" s="20"/>
    </row>
    <row r="171">
      <c r="A171" s="5" t="str">
        <f t="shared" si="1"/>
        <v/>
      </c>
      <c r="B171" s="6" t="str">
        <f t="shared" si="2"/>
        <v/>
      </c>
      <c r="C171" s="6" t="str">
        <f t="shared" si="3"/>
        <v/>
      </c>
      <c r="D171" s="19"/>
      <c r="E171" s="19"/>
      <c r="F171" s="19"/>
      <c r="G171" s="19"/>
      <c r="H171" s="19"/>
      <c r="I171" s="19"/>
      <c r="J171" s="19"/>
      <c r="K171" s="19"/>
      <c r="L171" s="20"/>
    </row>
    <row r="172">
      <c r="A172" s="5" t="str">
        <f t="shared" si="1"/>
        <v/>
      </c>
      <c r="B172" s="6" t="str">
        <f t="shared" si="2"/>
        <v/>
      </c>
      <c r="C172" s="6" t="str">
        <f t="shared" si="3"/>
        <v/>
      </c>
      <c r="D172" s="19"/>
      <c r="E172" s="19"/>
      <c r="F172" s="19"/>
      <c r="G172" s="19"/>
      <c r="H172" s="19"/>
      <c r="I172" s="19"/>
      <c r="J172" s="19"/>
      <c r="K172" s="20"/>
      <c r="L172" s="20"/>
    </row>
    <row r="173">
      <c r="A173" s="5" t="str">
        <f t="shared" si="1"/>
        <v/>
      </c>
      <c r="B173" s="6" t="str">
        <f t="shared" si="2"/>
        <v/>
      </c>
      <c r="C173" s="6" t="str">
        <f t="shared" si="3"/>
        <v/>
      </c>
      <c r="D173" s="19"/>
      <c r="E173" s="19"/>
      <c r="F173" s="19"/>
      <c r="G173" s="19"/>
      <c r="H173" s="19"/>
      <c r="I173" s="19"/>
      <c r="J173" s="19"/>
      <c r="K173" s="19"/>
      <c r="L173" s="20"/>
    </row>
    <row r="174">
      <c r="A174" s="5" t="str">
        <f t="shared" si="1"/>
        <v/>
      </c>
      <c r="B174" s="6" t="str">
        <f t="shared" si="2"/>
        <v/>
      </c>
      <c r="C174" s="6" t="str">
        <f t="shared" si="3"/>
        <v/>
      </c>
      <c r="D174" s="19"/>
      <c r="E174" s="19"/>
      <c r="F174" s="19"/>
      <c r="G174" s="19"/>
      <c r="H174" s="19"/>
      <c r="I174" s="19"/>
      <c r="J174" s="19"/>
      <c r="K174" s="20"/>
      <c r="L174" s="20"/>
    </row>
    <row r="175">
      <c r="A175" s="5" t="str">
        <f t="shared" si="1"/>
        <v/>
      </c>
      <c r="B175" s="6" t="str">
        <f t="shared" si="2"/>
        <v/>
      </c>
      <c r="C175" s="6" t="str">
        <f t="shared" si="3"/>
        <v/>
      </c>
      <c r="D175" s="19"/>
      <c r="E175" s="19"/>
      <c r="F175" s="19"/>
      <c r="G175" s="19"/>
      <c r="H175" s="19"/>
      <c r="I175" s="19"/>
      <c r="J175" s="19"/>
      <c r="K175" s="20"/>
      <c r="L175" s="20"/>
    </row>
    <row r="176">
      <c r="A176" s="5" t="str">
        <f t="shared" si="1"/>
        <v/>
      </c>
      <c r="B176" s="6" t="str">
        <f t="shared" si="2"/>
        <v/>
      </c>
      <c r="C176" s="6" t="str">
        <f t="shared" si="3"/>
        <v/>
      </c>
      <c r="D176" s="19"/>
      <c r="E176" s="19"/>
      <c r="F176" s="19"/>
      <c r="G176" s="19"/>
      <c r="H176" s="19"/>
      <c r="I176" s="19"/>
      <c r="J176" s="19"/>
      <c r="K176" s="19"/>
      <c r="L176" s="19"/>
    </row>
    <row r="177">
      <c r="A177" s="5" t="str">
        <f t="shared" si="1"/>
        <v/>
      </c>
      <c r="B177" s="6" t="str">
        <f t="shared" si="2"/>
        <v/>
      </c>
      <c r="C177" s="6" t="str">
        <f t="shared" si="3"/>
        <v/>
      </c>
      <c r="D177" s="19"/>
      <c r="E177" s="19"/>
      <c r="F177" s="19"/>
      <c r="G177" s="19"/>
      <c r="H177" s="19"/>
      <c r="I177" s="19"/>
      <c r="J177" s="19"/>
      <c r="K177" s="20"/>
      <c r="L177" s="20"/>
    </row>
    <row r="178">
      <c r="A178" s="5" t="str">
        <f t="shared" si="1"/>
        <v/>
      </c>
      <c r="B178" s="6" t="str">
        <f t="shared" si="2"/>
        <v/>
      </c>
      <c r="C178" s="6" t="str">
        <f t="shared" si="3"/>
        <v/>
      </c>
      <c r="D178" s="19"/>
      <c r="E178" s="19"/>
      <c r="F178" s="19"/>
      <c r="G178" s="19"/>
      <c r="H178" s="19"/>
      <c r="I178" s="19"/>
      <c r="J178" s="19"/>
      <c r="K178" s="19"/>
      <c r="L178" s="20"/>
    </row>
    <row r="179">
      <c r="A179" s="5" t="str">
        <f t="shared" si="1"/>
        <v/>
      </c>
      <c r="B179" s="6" t="str">
        <f t="shared" si="2"/>
        <v/>
      </c>
      <c r="C179" s="6" t="str">
        <f t="shared" si="3"/>
        <v/>
      </c>
      <c r="D179" s="19"/>
      <c r="E179" s="19"/>
      <c r="F179" s="19"/>
      <c r="G179" s="19"/>
      <c r="H179" s="19"/>
      <c r="I179" s="20"/>
      <c r="J179" s="20"/>
      <c r="K179" s="19"/>
      <c r="L179" s="20"/>
    </row>
    <row r="180">
      <c r="A180" s="5" t="str">
        <f t="shared" si="1"/>
        <v/>
      </c>
      <c r="B180" s="6" t="str">
        <f t="shared" si="2"/>
        <v/>
      </c>
      <c r="C180" s="6" t="str">
        <f t="shared" si="3"/>
        <v/>
      </c>
      <c r="D180" s="19"/>
      <c r="E180" s="19"/>
      <c r="F180" s="19"/>
      <c r="G180" s="19"/>
      <c r="H180" s="19"/>
      <c r="I180" s="19"/>
      <c r="J180" s="19"/>
      <c r="K180" s="20"/>
      <c r="L180" s="20"/>
    </row>
    <row r="181">
      <c r="A181" s="5" t="str">
        <f t="shared" si="1"/>
        <v/>
      </c>
      <c r="B181" s="6" t="str">
        <f t="shared" si="2"/>
        <v/>
      </c>
      <c r="C181" s="6" t="str">
        <f t="shared" si="3"/>
        <v/>
      </c>
      <c r="D181" s="19"/>
      <c r="E181" s="19"/>
      <c r="F181" s="19"/>
      <c r="G181" s="19"/>
      <c r="H181" s="19"/>
      <c r="I181" s="19"/>
      <c r="J181" s="19"/>
      <c r="K181" s="20"/>
      <c r="L181" s="20"/>
    </row>
    <row r="182">
      <c r="A182" s="5" t="str">
        <f t="shared" si="1"/>
        <v/>
      </c>
      <c r="B182" s="6" t="str">
        <f t="shared" si="2"/>
        <v/>
      </c>
      <c r="C182" s="6" t="str">
        <f t="shared" si="3"/>
        <v/>
      </c>
      <c r="D182" s="19"/>
      <c r="E182" s="19"/>
      <c r="F182" s="19"/>
      <c r="G182" s="19"/>
      <c r="H182" s="19"/>
      <c r="I182" s="19"/>
      <c r="J182" s="19"/>
      <c r="K182" s="19"/>
      <c r="L182" s="20"/>
    </row>
    <row r="183">
      <c r="A183" s="5" t="str">
        <f t="shared" si="1"/>
        <v/>
      </c>
      <c r="B183" s="6" t="str">
        <f t="shared" si="2"/>
        <v/>
      </c>
      <c r="C183" s="6" t="str">
        <f t="shared" si="3"/>
        <v/>
      </c>
      <c r="D183" s="19"/>
      <c r="E183" s="19"/>
      <c r="F183" s="19"/>
      <c r="G183" s="19"/>
      <c r="H183" s="19"/>
      <c r="I183" s="19"/>
      <c r="J183" s="19"/>
      <c r="K183" s="19"/>
      <c r="L183" s="20"/>
    </row>
    <row r="184">
      <c r="A184" s="5" t="str">
        <f t="shared" si="1"/>
        <v/>
      </c>
      <c r="B184" s="6" t="str">
        <f t="shared" si="2"/>
        <v/>
      </c>
      <c r="C184" s="6" t="str">
        <f t="shared" si="3"/>
        <v/>
      </c>
      <c r="D184" s="19"/>
      <c r="E184" s="19"/>
      <c r="F184" s="19"/>
      <c r="G184" s="19"/>
      <c r="H184" s="19"/>
      <c r="I184" s="19"/>
      <c r="J184" s="19"/>
      <c r="K184" s="20"/>
      <c r="L184" s="20"/>
    </row>
    <row r="185">
      <c r="A185" s="5" t="str">
        <f t="shared" si="1"/>
        <v/>
      </c>
      <c r="B185" s="6" t="str">
        <f t="shared" si="2"/>
        <v/>
      </c>
      <c r="C185" s="6" t="str">
        <f t="shared" si="3"/>
        <v/>
      </c>
      <c r="D185" s="19"/>
      <c r="E185" s="19"/>
      <c r="F185" s="19"/>
      <c r="G185" s="19"/>
      <c r="H185" s="19"/>
      <c r="I185" s="19"/>
      <c r="J185" s="19"/>
      <c r="K185" s="20"/>
      <c r="L185" s="20"/>
    </row>
    <row r="186">
      <c r="A186" s="5" t="str">
        <f t="shared" si="1"/>
        <v/>
      </c>
      <c r="B186" s="6" t="str">
        <f t="shared" si="2"/>
        <v/>
      </c>
      <c r="C186" s="6" t="str">
        <f t="shared" si="3"/>
        <v/>
      </c>
      <c r="D186" s="19"/>
      <c r="E186" s="19"/>
      <c r="F186" s="19"/>
      <c r="G186" s="19"/>
      <c r="H186" s="19"/>
      <c r="I186" s="19"/>
      <c r="J186" s="19"/>
      <c r="K186" s="20"/>
      <c r="L186" s="20"/>
    </row>
    <row r="187">
      <c r="A187" s="5" t="str">
        <f t="shared" si="1"/>
        <v/>
      </c>
      <c r="B187" s="6" t="str">
        <f t="shared" si="2"/>
        <v/>
      </c>
      <c r="C187" s="6" t="str">
        <f t="shared" si="3"/>
        <v/>
      </c>
      <c r="D187" s="19"/>
      <c r="E187" s="19"/>
      <c r="F187" s="19"/>
      <c r="G187" s="19"/>
      <c r="H187" s="19"/>
      <c r="I187" s="19"/>
      <c r="J187" s="19"/>
      <c r="K187" s="19"/>
      <c r="L187" s="20"/>
    </row>
    <row r="188">
      <c r="A188" s="5" t="str">
        <f t="shared" si="1"/>
        <v/>
      </c>
      <c r="B188" s="6" t="str">
        <f t="shared" si="2"/>
        <v/>
      </c>
      <c r="C188" s="6" t="str">
        <f t="shared" si="3"/>
        <v/>
      </c>
      <c r="D188" s="19"/>
      <c r="E188" s="19"/>
      <c r="F188" s="19"/>
      <c r="G188" s="19"/>
      <c r="H188" s="19"/>
      <c r="I188" s="19"/>
      <c r="J188" s="19"/>
      <c r="K188" s="19"/>
      <c r="L188" s="20"/>
    </row>
    <row r="189">
      <c r="A189" s="5" t="str">
        <f t="shared" si="1"/>
        <v/>
      </c>
      <c r="B189" s="6" t="str">
        <f t="shared" si="2"/>
        <v/>
      </c>
      <c r="C189" s="6" t="str">
        <f t="shared" si="3"/>
        <v/>
      </c>
      <c r="D189" s="19"/>
      <c r="E189" s="19"/>
      <c r="F189" s="19"/>
      <c r="G189" s="19"/>
      <c r="H189" s="19"/>
      <c r="I189" s="19"/>
      <c r="J189" s="19"/>
      <c r="K189" s="19"/>
      <c r="L189" s="20"/>
    </row>
    <row r="190">
      <c r="A190" s="5" t="str">
        <f t="shared" si="1"/>
        <v/>
      </c>
      <c r="B190" s="6" t="str">
        <f t="shared" si="2"/>
        <v/>
      </c>
      <c r="C190" s="6" t="str">
        <f t="shared" si="3"/>
        <v/>
      </c>
      <c r="D190" s="19"/>
      <c r="E190" s="19"/>
      <c r="F190" s="19"/>
      <c r="G190" s="19"/>
      <c r="H190" s="19"/>
      <c r="I190" s="19"/>
      <c r="J190" s="19"/>
      <c r="K190" s="19"/>
      <c r="L190" s="20"/>
    </row>
    <row r="191">
      <c r="A191" s="5" t="str">
        <f t="shared" si="1"/>
        <v/>
      </c>
      <c r="B191" s="6" t="str">
        <f t="shared" si="2"/>
        <v/>
      </c>
      <c r="C191" s="6" t="str">
        <f t="shared" si="3"/>
        <v/>
      </c>
      <c r="D191" s="19"/>
      <c r="E191" s="19"/>
      <c r="F191" s="19"/>
      <c r="G191" s="19"/>
      <c r="H191" s="19"/>
      <c r="I191" s="19"/>
      <c r="J191" s="19"/>
      <c r="K191" s="19"/>
      <c r="L191" s="20"/>
    </row>
    <row r="192">
      <c r="A192" s="5" t="str">
        <f t="shared" si="1"/>
        <v/>
      </c>
      <c r="B192" s="6" t="str">
        <f t="shared" si="2"/>
        <v/>
      </c>
      <c r="C192" s="6" t="str">
        <f t="shared" si="3"/>
        <v/>
      </c>
      <c r="D192" s="19"/>
      <c r="E192" s="19"/>
      <c r="F192" s="19"/>
      <c r="G192" s="19"/>
      <c r="H192" s="19"/>
      <c r="I192" s="19"/>
      <c r="J192" s="20"/>
      <c r="K192" s="20"/>
      <c r="L192" s="20"/>
    </row>
    <row r="193">
      <c r="A193" s="5" t="str">
        <f t="shared" si="1"/>
        <v/>
      </c>
      <c r="B193" s="6" t="str">
        <f t="shared" si="2"/>
        <v/>
      </c>
      <c r="C193" s="6" t="str">
        <f t="shared" si="3"/>
        <v/>
      </c>
      <c r="D193" s="19"/>
      <c r="E193" s="19"/>
      <c r="F193" s="19"/>
      <c r="G193" s="19"/>
      <c r="H193" s="19"/>
      <c r="I193" s="19"/>
      <c r="J193" s="20"/>
      <c r="K193" s="20"/>
      <c r="L193" s="20"/>
    </row>
    <row r="194">
      <c r="A194" s="5" t="str">
        <f t="shared" si="1"/>
        <v/>
      </c>
      <c r="B194" s="6" t="str">
        <f t="shared" si="2"/>
        <v/>
      </c>
      <c r="C194" s="6" t="str">
        <f t="shared" si="3"/>
        <v/>
      </c>
      <c r="D194" s="19"/>
      <c r="E194" s="19"/>
      <c r="F194" s="19"/>
      <c r="G194" s="19"/>
      <c r="H194" s="19"/>
      <c r="I194" s="19"/>
      <c r="J194" s="20"/>
      <c r="K194" s="19"/>
      <c r="L194" s="20"/>
    </row>
    <row r="195">
      <c r="A195" s="5" t="str">
        <f t="shared" si="1"/>
        <v/>
      </c>
      <c r="B195" s="6" t="str">
        <f t="shared" si="2"/>
        <v/>
      </c>
      <c r="C195" s="6" t="str">
        <f t="shared" si="3"/>
        <v/>
      </c>
      <c r="D195" s="19"/>
      <c r="E195" s="19"/>
      <c r="F195" s="19"/>
      <c r="G195" s="19"/>
      <c r="H195" s="19"/>
      <c r="I195" s="19"/>
      <c r="J195" s="19"/>
      <c r="K195" s="19"/>
      <c r="L195" s="20"/>
    </row>
    <row r="196">
      <c r="A196" s="5" t="str">
        <f t="shared" si="1"/>
        <v/>
      </c>
      <c r="B196" s="6" t="str">
        <f t="shared" si="2"/>
        <v/>
      </c>
      <c r="C196" s="6" t="str">
        <f t="shared" si="3"/>
        <v/>
      </c>
      <c r="D196" s="19"/>
      <c r="E196" s="19"/>
      <c r="F196" s="19"/>
      <c r="G196" s="19"/>
      <c r="H196" s="19"/>
      <c r="I196" s="19"/>
      <c r="J196" s="19"/>
      <c r="K196" s="19"/>
      <c r="L196" s="20"/>
    </row>
    <row r="197">
      <c r="A197" s="5" t="str">
        <f t="shared" si="1"/>
        <v/>
      </c>
      <c r="B197" s="6" t="str">
        <f t="shared" si="2"/>
        <v/>
      </c>
      <c r="C197" s="6" t="str">
        <f t="shared" si="3"/>
        <v/>
      </c>
      <c r="D197" s="19"/>
      <c r="E197" s="19"/>
      <c r="F197" s="19"/>
      <c r="G197" s="19"/>
      <c r="H197" s="19"/>
      <c r="I197" s="19"/>
      <c r="J197" s="19"/>
      <c r="K197" s="19"/>
      <c r="L197" s="20"/>
    </row>
    <row r="198">
      <c r="A198" s="5" t="str">
        <f t="shared" si="1"/>
        <v/>
      </c>
      <c r="B198" s="6" t="str">
        <f t="shared" si="2"/>
        <v/>
      </c>
      <c r="C198" s="6" t="str">
        <f t="shared" si="3"/>
        <v/>
      </c>
      <c r="D198" s="19"/>
      <c r="E198" s="22"/>
      <c r="F198" s="19"/>
      <c r="G198" s="19"/>
      <c r="H198" s="19"/>
      <c r="I198" s="19"/>
      <c r="J198" s="19"/>
      <c r="K198" s="23"/>
      <c r="L198" s="11"/>
    </row>
    <row r="199">
      <c r="A199" s="5" t="str">
        <f t="shared" si="1"/>
        <v/>
      </c>
      <c r="B199" s="6" t="str">
        <f t="shared" si="2"/>
        <v/>
      </c>
      <c r="C199" s="6" t="str">
        <f t="shared" si="3"/>
        <v/>
      </c>
      <c r="D199" s="19"/>
      <c r="E199" s="22"/>
      <c r="F199" s="19"/>
      <c r="G199" s="19"/>
      <c r="H199" s="19"/>
      <c r="I199" s="19"/>
      <c r="J199" s="19"/>
      <c r="K199" s="19"/>
      <c r="L199" s="20"/>
    </row>
    <row r="200">
      <c r="A200" s="5" t="str">
        <f t="shared" si="1"/>
        <v/>
      </c>
      <c r="B200" s="6" t="str">
        <f t="shared" si="2"/>
        <v/>
      </c>
      <c r="C200" s="6" t="str">
        <f t="shared" si="3"/>
        <v/>
      </c>
      <c r="D200" s="19"/>
      <c r="E200" s="22"/>
      <c r="F200" s="19"/>
      <c r="G200" s="19"/>
      <c r="H200" s="19"/>
      <c r="I200" s="19"/>
      <c r="J200" s="19"/>
      <c r="K200" s="20"/>
      <c r="L200" s="20"/>
    </row>
    <row r="201">
      <c r="A201" s="5" t="str">
        <f t="shared" si="1"/>
        <v/>
      </c>
      <c r="B201" s="6" t="str">
        <f t="shared" si="2"/>
        <v/>
      </c>
      <c r="C201" s="6" t="str">
        <f t="shared" si="3"/>
        <v/>
      </c>
      <c r="D201" s="19"/>
      <c r="E201" s="22"/>
      <c r="F201" s="19"/>
      <c r="G201" s="19"/>
      <c r="H201" s="19"/>
      <c r="I201" s="19"/>
      <c r="J201" s="19"/>
      <c r="K201" s="19"/>
      <c r="L201" s="20"/>
    </row>
    <row r="202">
      <c r="A202" s="5" t="str">
        <f t="shared" si="1"/>
        <v/>
      </c>
      <c r="B202" s="6" t="str">
        <f t="shared" si="2"/>
        <v/>
      </c>
      <c r="C202" s="6" t="str">
        <f t="shared" si="3"/>
        <v/>
      </c>
      <c r="D202" s="19"/>
      <c r="E202" s="22"/>
      <c r="F202" s="19"/>
      <c r="G202" s="19"/>
      <c r="H202" s="19"/>
      <c r="I202" s="19"/>
      <c r="J202" s="19"/>
      <c r="K202" s="20"/>
      <c r="L202" s="20"/>
    </row>
    <row r="203">
      <c r="A203" s="24"/>
      <c r="B203" s="20"/>
      <c r="C203" s="20"/>
      <c r="D203" s="19"/>
      <c r="E203" s="19"/>
      <c r="F203" s="19"/>
      <c r="G203" s="19"/>
      <c r="H203" s="19"/>
      <c r="I203" s="19"/>
      <c r="J203" s="19"/>
      <c r="K203" s="19"/>
      <c r="L203" s="20"/>
    </row>
    <row r="204">
      <c r="A204" s="24"/>
      <c r="B204" s="20"/>
      <c r="C204" s="20"/>
      <c r="D204" s="19"/>
      <c r="E204" s="19"/>
      <c r="F204" s="19"/>
      <c r="G204" s="19"/>
      <c r="H204" s="19"/>
      <c r="I204" s="19"/>
      <c r="J204" s="19"/>
      <c r="K204" s="23"/>
      <c r="L204" s="11"/>
    </row>
    <row r="205">
      <c r="A205" s="24"/>
      <c r="B205" s="20"/>
      <c r="C205" s="20"/>
      <c r="D205" s="19"/>
      <c r="E205" s="19"/>
      <c r="F205" s="19"/>
      <c r="G205" s="19"/>
      <c r="H205" s="19"/>
      <c r="I205" s="19"/>
      <c r="J205" s="19"/>
      <c r="K205" s="19"/>
      <c r="L205" s="20"/>
    </row>
    <row r="206">
      <c r="A206" s="24"/>
      <c r="B206" s="20"/>
      <c r="C206" s="20"/>
      <c r="D206" s="19"/>
      <c r="E206" s="19"/>
      <c r="F206" s="19"/>
      <c r="G206" s="19"/>
      <c r="H206" s="19"/>
      <c r="I206" s="19"/>
      <c r="J206" s="19"/>
      <c r="K206" s="19"/>
      <c r="L206" s="20"/>
    </row>
    <row r="207">
      <c r="A207" s="24"/>
      <c r="B207" s="20"/>
      <c r="C207" s="20"/>
      <c r="D207" s="19"/>
      <c r="E207" s="19"/>
      <c r="F207" s="19"/>
      <c r="G207" s="19"/>
      <c r="H207" s="19"/>
      <c r="I207" s="19"/>
      <c r="J207" s="19"/>
      <c r="K207" s="19"/>
      <c r="L207" s="19"/>
    </row>
    <row r="208">
      <c r="A208" s="24"/>
      <c r="B208" s="20"/>
      <c r="C208" s="20"/>
      <c r="D208" s="19"/>
      <c r="E208" s="19"/>
      <c r="F208" s="19"/>
      <c r="G208" s="19"/>
      <c r="H208" s="19"/>
      <c r="I208" s="19"/>
      <c r="J208" s="19"/>
      <c r="K208" s="19"/>
      <c r="L208" s="20"/>
    </row>
    <row r="209">
      <c r="A209" s="24"/>
      <c r="B209" s="20"/>
      <c r="C209" s="20"/>
      <c r="D209" s="19"/>
      <c r="E209" s="19"/>
      <c r="F209" s="19"/>
      <c r="G209" s="19"/>
      <c r="H209" s="19"/>
      <c r="I209" s="19"/>
      <c r="J209" s="19"/>
      <c r="K209" s="20"/>
      <c r="L209" s="20"/>
    </row>
    <row r="210">
      <c r="A210" s="24"/>
      <c r="B210" s="20"/>
      <c r="C210" s="20"/>
      <c r="D210" s="19"/>
      <c r="E210" s="19"/>
      <c r="F210" s="19"/>
      <c r="G210" s="19"/>
      <c r="H210" s="19"/>
      <c r="I210" s="19"/>
      <c r="J210" s="19"/>
      <c r="K210" s="23"/>
      <c r="L210" s="11"/>
    </row>
    <row r="211">
      <c r="A211" s="24"/>
      <c r="B211" s="20"/>
      <c r="C211" s="20"/>
      <c r="D211" s="19"/>
      <c r="E211" s="19"/>
      <c r="F211" s="19"/>
      <c r="G211" s="19"/>
      <c r="H211" s="19"/>
      <c r="I211" s="19"/>
      <c r="J211" s="19"/>
      <c r="K211" s="23"/>
      <c r="L211" s="11"/>
    </row>
    <row r="212">
      <c r="A212" s="24"/>
      <c r="B212" s="20"/>
      <c r="C212" s="20"/>
      <c r="D212" s="19"/>
      <c r="E212" s="19"/>
      <c r="F212" s="19"/>
      <c r="G212" s="19"/>
      <c r="H212" s="19"/>
      <c r="I212" s="19"/>
      <c r="J212" s="19"/>
      <c r="K212" s="19"/>
      <c r="L212" s="20"/>
    </row>
    <row r="213">
      <c r="A213" s="24"/>
      <c r="B213" s="20"/>
      <c r="C213" s="20"/>
      <c r="D213" s="19"/>
      <c r="E213" s="19"/>
      <c r="F213" s="19"/>
      <c r="G213" s="19"/>
      <c r="H213" s="19"/>
      <c r="I213" s="19"/>
      <c r="J213" s="20"/>
      <c r="K213" s="19"/>
      <c r="L213" s="20"/>
    </row>
    <row r="214">
      <c r="A214" s="24"/>
      <c r="B214" s="20"/>
      <c r="C214" s="20"/>
      <c r="D214" s="19"/>
      <c r="E214" s="19"/>
      <c r="F214" s="19"/>
      <c r="G214" s="19"/>
      <c r="H214" s="19"/>
      <c r="I214" s="19"/>
      <c r="J214" s="19"/>
      <c r="K214" s="19"/>
      <c r="L214" s="20"/>
    </row>
    <row r="215">
      <c r="A215" s="24"/>
      <c r="B215" s="20"/>
      <c r="C215" s="20"/>
      <c r="D215" s="19"/>
      <c r="E215" s="19"/>
      <c r="F215" s="19"/>
      <c r="G215" s="19"/>
      <c r="H215" s="19"/>
      <c r="I215" s="19"/>
      <c r="J215" s="19"/>
      <c r="K215" s="19"/>
      <c r="L215" s="20"/>
    </row>
    <row r="216">
      <c r="A216" s="24"/>
      <c r="B216" s="20"/>
      <c r="C216" s="20"/>
      <c r="D216" s="19"/>
      <c r="E216" s="19"/>
      <c r="F216" s="19"/>
      <c r="G216" s="19"/>
      <c r="H216" s="19"/>
      <c r="I216" s="19"/>
      <c r="J216" s="19"/>
      <c r="K216" s="19"/>
      <c r="L216" s="20"/>
    </row>
    <row r="217">
      <c r="A217" s="24"/>
      <c r="B217" s="20"/>
      <c r="C217" s="20"/>
      <c r="D217" s="19"/>
      <c r="E217" s="19"/>
      <c r="F217" s="19"/>
      <c r="G217" s="19"/>
      <c r="H217" s="19"/>
      <c r="I217" s="19"/>
      <c r="J217" s="19"/>
      <c r="K217" s="19"/>
      <c r="L217" s="20"/>
    </row>
    <row r="218">
      <c r="A218" s="24"/>
      <c r="B218" s="20"/>
      <c r="C218" s="20"/>
      <c r="D218" s="19"/>
      <c r="E218" s="19"/>
      <c r="F218" s="19"/>
      <c r="G218" s="19"/>
      <c r="H218" s="19"/>
      <c r="I218" s="19"/>
      <c r="J218" s="20"/>
      <c r="K218" s="20"/>
      <c r="L218" s="20"/>
    </row>
    <row r="219">
      <c r="A219" s="24"/>
      <c r="B219" s="20"/>
      <c r="C219" s="20"/>
      <c r="D219" s="19"/>
      <c r="E219" s="19"/>
      <c r="F219" s="19"/>
      <c r="G219" s="19"/>
      <c r="H219" s="19"/>
      <c r="I219" s="19"/>
      <c r="J219" s="20"/>
      <c r="K219" s="20"/>
      <c r="L219" s="20"/>
    </row>
    <row r="220">
      <c r="A220" s="24"/>
      <c r="B220" s="20"/>
      <c r="C220" s="20"/>
      <c r="D220" s="19"/>
      <c r="E220" s="19"/>
      <c r="F220" s="19"/>
      <c r="G220" s="19"/>
      <c r="H220" s="19"/>
      <c r="I220" s="19"/>
      <c r="J220" s="19"/>
      <c r="K220" s="20"/>
      <c r="L220" s="20"/>
    </row>
    <row r="221">
      <c r="A221" s="24"/>
      <c r="B221" s="20"/>
      <c r="C221" s="20"/>
      <c r="D221" s="19"/>
      <c r="E221" s="19"/>
      <c r="F221" s="19"/>
      <c r="G221" s="19"/>
      <c r="H221" s="19"/>
      <c r="I221" s="19"/>
      <c r="J221" s="20"/>
      <c r="K221" s="20"/>
      <c r="L221" s="20"/>
    </row>
    <row r="222">
      <c r="A222" s="24"/>
      <c r="B222" s="20"/>
      <c r="C222" s="20"/>
      <c r="D222" s="19"/>
      <c r="E222" s="19"/>
      <c r="F222" s="19"/>
      <c r="G222" s="19"/>
      <c r="H222" s="19"/>
      <c r="I222" s="19"/>
      <c r="J222" s="19"/>
      <c r="K222" s="23"/>
      <c r="L222" s="11"/>
    </row>
    <row r="223">
      <c r="A223" s="24"/>
      <c r="B223" s="20"/>
      <c r="C223" s="20"/>
      <c r="D223" s="19"/>
      <c r="E223" s="19"/>
      <c r="F223" s="19"/>
      <c r="G223" s="19"/>
      <c r="H223" s="19"/>
      <c r="I223" s="19"/>
      <c r="J223" s="19"/>
      <c r="K223" s="23"/>
      <c r="L223" s="11"/>
    </row>
    <row r="224">
      <c r="A224" s="24"/>
      <c r="B224" s="20"/>
      <c r="C224" s="20"/>
      <c r="D224" s="19"/>
      <c r="E224" s="19"/>
      <c r="F224" s="19"/>
      <c r="G224" s="19"/>
      <c r="H224" s="19"/>
      <c r="I224" s="19"/>
      <c r="J224" s="19"/>
      <c r="K224" s="23"/>
      <c r="L224" s="11"/>
    </row>
    <row r="225">
      <c r="A225" s="24"/>
      <c r="B225" s="20"/>
      <c r="C225" s="20"/>
      <c r="D225" s="19"/>
      <c r="E225" s="19"/>
      <c r="F225" s="19"/>
      <c r="G225" s="19"/>
      <c r="H225" s="19"/>
      <c r="I225" s="19"/>
      <c r="J225" s="19"/>
      <c r="K225" s="20"/>
      <c r="L225" s="20"/>
    </row>
    <row r="226">
      <c r="A226" s="24"/>
      <c r="B226" s="20"/>
      <c r="C226" s="20"/>
      <c r="D226" s="19"/>
      <c r="E226" s="19"/>
      <c r="F226" s="19"/>
      <c r="G226" s="19"/>
      <c r="H226" s="19"/>
      <c r="I226" s="19"/>
      <c r="J226" s="19"/>
      <c r="K226" s="23"/>
      <c r="L226" s="11"/>
    </row>
    <row r="227">
      <c r="A227" s="24"/>
      <c r="B227" s="20"/>
      <c r="C227" s="20"/>
      <c r="D227" s="19"/>
      <c r="E227" s="19"/>
      <c r="F227" s="19"/>
      <c r="G227" s="19"/>
      <c r="H227" s="19"/>
      <c r="I227" s="19"/>
      <c r="J227" s="19"/>
      <c r="K227" s="20"/>
      <c r="L227" s="20"/>
    </row>
    <row r="228">
      <c r="A228" s="24"/>
      <c r="B228" s="20"/>
      <c r="C228" s="20"/>
      <c r="D228" s="19"/>
      <c r="E228" s="19"/>
      <c r="F228" s="19"/>
      <c r="G228" s="19"/>
      <c r="H228" s="19"/>
      <c r="I228" s="19"/>
      <c r="J228" s="19"/>
      <c r="K228" s="23"/>
      <c r="L228" s="11"/>
    </row>
    <row r="229">
      <c r="A229" s="24"/>
      <c r="B229" s="20"/>
      <c r="C229" s="20"/>
      <c r="D229" s="19"/>
      <c r="E229" s="19"/>
      <c r="F229" s="19"/>
      <c r="G229" s="19"/>
      <c r="H229" s="19"/>
      <c r="I229" s="19"/>
      <c r="J229" s="19"/>
      <c r="K229" s="19"/>
      <c r="L229" s="20"/>
    </row>
    <row r="230">
      <c r="A230" s="24"/>
      <c r="B230" s="20"/>
      <c r="C230" s="20"/>
      <c r="D230" s="19"/>
      <c r="E230" s="19"/>
      <c r="F230" s="19"/>
      <c r="G230" s="19"/>
      <c r="H230" s="19"/>
      <c r="I230" s="19"/>
      <c r="J230" s="19"/>
      <c r="K230" s="20"/>
      <c r="L230" s="20"/>
    </row>
    <row r="231">
      <c r="A231" s="24"/>
      <c r="B231" s="20"/>
      <c r="C231" s="20"/>
      <c r="D231" s="19"/>
      <c r="E231" s="19"/>
      <c r="F231" s="19"/>
      <c r="G231" s="19"/>
      <c r="H231" s="19"/>
      <c r="I231" s="19"/>
      <c r="J231" s="19"/>
      <c r="K231" s="19"/>
      <c r="L231" s="20"/>
    </row>
    <row r="232">
      <c r="A232" s="24"/>
      <c r="B232" s="20"/>
      <c r="C232" s="20"/>
      <c r="D232" s="19"/>
      <c r="E232" s="19"/>
      <c r="F232" s="19"/>
      <c r="G232" s="19"/>
      <c r="H232" s="19"/>
      <c r="I232" s="19"/>
      <c r="J232" s="19"/>
      <c r="K232" s="20"/>
      <c r="L232" s="20"/>
    </row>
    <row r="233">
      <c r="A233" s="24"/>
      <c r="B233" s="20"/>
      <c r="C233" s="20"/>
      <c r="D233" s="19"/>
      <c r="E233" s="19"/>
      <c r="F233" s="19"/>
      <c r="G233" s="19"/>
      <c r="H233" s="19"/>
      <c r="I233" s="19"/>
      <c r="J233" s="20"/>
      <c r="K233" s="19"/>
      <c r="L233" s="20"/>
    </row>
    <row r="234">
      <c r="A234" s="24"/>
      <c r="B234" s="20"/>
      <c r="C234" s="20"/>
      <c r="D234" s="19"/>
      <c r="E234" s="19"/>
      <c r="F234" s="19"/>
      <c r="G234" s="19"/>
      <c r="H234" s="19"/>
      <c r="I234" s="19"/>
      <c r="J234" s="19"/>
      <c r="K234" s="19"/>
      <c r="L234" s="20"/>
    </row>
    <row r="235">
      <c r="A235" s="24"/>
      <c r="B235" s="20"/>
      <c r="C235" s="20"/>
      <c r="D235" s="19"/>
      <c r="E235" s="19"/>
      <c r="F235" s="19"/>
      <c r="G235" s="19"/>
      <c r="H235" s="19"/>
      <c r="I235" s="19"/>
      <c r="J235" s="19"/>
      <c r="K235" s="19"/>
      <c r="L235" s="20"/>
    </row>
    <row r="236">
      <c r="A236" s="24"/>
      <c r="B236" s="20"/>
      <c r="C236" s="20"/>
      <c r="D236" s="19"/>
      <c r="E236" s="19"/>
      <c r="F236" s="19"/>
      <c r="G236" s="19"/>
      <c r="H236" s="19"/>
      <c r="I236" s="19"/>
      <c r="J236" s="19"/>
      <c r="K236" s="19"/>
      <c r="L236" s="20"/>
    </row>
    <row r="237">
      <c r="A237" s="24"/>
      <c r="B237" s="20"/>
      <c r="C237" s="20"/>
      <c r="D237" s="19"/>
      <c r="E237" s="19"/>
      <c r="F237" s="19"/>
      <c r="G237" s="19"/>
      <c r="H237" s="19"/>
      <c r="I237" s="19"/>
      <c r="J237" s="20"/>
      <c r="K237" s="23"/>
      <c r="L237" s="11"/>
    </row>
    <row r="238">
      <c r="A238" s="24"/>
      <c r="B238" s="20"/>
      <c r="C238" s="20"/>
      <c r="D238" s="19"/>
      <c r="E238" s="19"/>
      <c r="F238" s="19"/>
      <c r="G238" s="19"/>
      <c r="H238" s="19"/>
      <c r="I238" s="19"/>
      <c r="J238" s="19"/>
      <c r="K238" s="20"/>
      <c r="L238" s="20"/>
    </row>
    <row r="239">
      <c r="A239" s="24"/>
      <c r="B239" s="20"/>
      <c r="C239" s="20"/>
      <c r="D239" s="19"/>
      <c r="E239" s="19"/>
      <c r="F239" s="19"/>
      <c r="G239" s="19"/>
      <c r="H239" s="19"/>
      <c r="I239" s="19"/>
      <c r="J239" s="20"/>
      <c r="K239" s="23"/>
      <c r="L239" s="11"/>
    </row>
    <row r="240">
      <c r="A240" s="24"/>
      <c r="B240" s="20"/>
      <c r="C240" s="20"/>
      <c r="D240" s="19"/>
      <c r="E240" s="19"/>
      <c r="F240" s="19"/>
      <c r="G240" s="19"/>
      <c r="H240" s="19"/>
      <c r="I240" s="19"/>
      <c r="J240" s="19"/>
      <c r="K240" s="23"/>
      <c r="L240" s="11"/>
    </row>
    <row r="241">
      <c r="A241" s="24"/>
      <c r="B241" s="20"/>
      <c r="C241" s="20"/>
      <c r="D241" s="19"/>
      <c r="E241" s="19"/>
      <c r="F241" s="19"/>
      <c r="G241" s="19"/>
      <c r="H241" s="19"/>
      <c r="I241" s="19"/>
      <c r="J241" s="19"/>
      <c r="K241" s="19"/>
      <c r="L241" s="20"/>
    </row>
    <row r="242">
      <c r="A242" s="24"/>
      <c r="B242" s="20"/>
      <c r="C242" s="20"/>
      <c r="D242" s="19"/>
      <c r="E242" s="19"/>
      <c r="F242" s="19"/>
      <c r="G242" s="19"/>
      <c r="H242" s="19"/>
      <c r="I242" s="19"/>
      <c r="J242" s="19"/>
      <c r="K242" s="20"/>
      <c r="L242" s="20"/>
    </row>
    <row r="243">
      <c r="A243" s="24"/>
      <c r="B243" s="20"/>
      <c r="C243" s="20"/>
      <c r="D243" s="19"/>
      <c r="E243" s="19"/>
      <c r="F243" s="19"/>
      <c r="G243" s="19"/>
      <c r="H243" s="19"/>
      <c r="I243" s="19"/>
      <c r="J243" s="20"/>
      <c r="K243" s="19"/>
      <c r="L243" s="20"/>
    </row>
    <row r="244">
      <c r="A244" s="24"/>
      <c r="B244" s="20"/>
      <c r="C244" s="20"/>
      <c r="D244" s="19"/>
      <c r="E244" s="19"/>
      <c r="F244" s="19"/>
      <c r="G244" s="19"/>
      <c r="H244" s="19"/>
      <c r="I244" s="19"/>
      <c r="J244" s="19"/>
      <c r="K244" s="19"/>
      <c r="L244" s="19"/>
    </row>
    <row r="245">
      <c r="A245" s="24"/>
      <c r="B245" s="20"/>
      <c r="C245" s="20"/>
      <c r="D245" s="19"/>
      <c r="E245" s="19"/>
      <c r="F245" s="19"/>
      <c r="G245" s="19"/>
      <c r="H245" s="19"/>
      <c r="I245" s="19"/>
      <c r="J245" s="20"/>
      <c r="K245" s="19"/>
      <c r="L245" s="20"/>
    </row>
    <row r="246">
      <c r="A246" s="24"/>
      <c r="B246" s="20"/>
      <c r="C246" s="20"/>
      <c r="D246" s="19"/>
      <c r="E246" s="19"/>
      <c r="F246" s="19"/>
      <c r="G246" s="19"/>
      <c r="H246" s="19"/>
      <c r="I246" s="19"/>
      <c r="J246" s="19"/>
      <c r="K246" s="19"/>
      <c r="L246" s="20"/>
    </row>
    <row r="247">
      <c r="A247" s="24"/>
      <c r="B247" s="20"/>
      <c r="C247" s="20"/>
      <c r="D247" s="19"/>
      <c r="E247" s="19"/>
      <c r="F247" s="19"/>
      <c r="G247" s="19"/>
      <c r="H247" s="19"/>
      <c r="I247" s="19"/>
      <c r="J247" s="19"/>
      <c r="K247" s="20"/>
      <c r="L247" s="20"/>
    </row>
    <row r="248">
      <c r="A248" s="24"/>
      <c r="B248" s="20"/>
      <c r="C248" s="20"/>
      <c r="D248" s="19"/>
      <c r="E248" s="19"/>
      <c r="F248" s="19"/>
      <c r="G248" s="19"/>
      <c r="H248" s="19"/>
      <c r="I248" s="19"/>
      <c r="J248" s="20"/>
      <c r="K248" s="19"/>
      <c r="L248" s="20"/>
    </row>
    <row r="249">
      <c r="A249" s="24"/>
      <c r="B249" s="20"/>
      <c r="C249" s="20"/>
      <c r="D249" s="19"/>
      <c r="E249" s="19"/>
      <c r="F249" s="19"/>
      <c r="G249" s="19"/>
      <c r="H249" s="19"/>
      <c r="I249" s="19"/>
      <c r="J249" s="19"/>
      <c r="K249" s="23"/>
      <c r="L249" s="11"/>
    </row>
    <row r="250">
      <c r="A250" s="24"/>
      <c r="B250" s="20"/>
      <c r="C250" s="20"/>
      <c r="D250" s="19"/>
      <c r="E250" s="19"/>
      <c r="F250" s="19"/>
      <c r="G250" s="19"/>
      <c r="H250" s="19"/>
      <c r="I250" s="19"/>
      <c r="J250" s="19"/>
      <c r="K250" s="20"/>
      <c r="L250" s="20"/>
    </row>
    <row r="251">
      <c r="A251" s="24"/>
      <c r="B251" s="20"/>
      <c r="C251" s="20"/>
      <c r="D251" s="19"/>
      <c r="E251" s="19"/>
      <c r="F251" s="19"/>
      <c r="G251" s="19"/>
      <c r="H251" s="19"/>
      <c r="I251" s="19"/>
      <c r="J251" s="20"/>
      <c r="K251" s="20"/>
      <c r="L251" s="20"/>
    </row>
    <row r="252">
      <c r="A252" s="24"/>
      <c r="B252" s="20"/>
      <c r="C252" s="20"/>
      <c r="D252" s="19"/>
      <c r="E252" s="19"/>
      <c r="F252" s="19"/>
      <c r="G252" s="19"/>
      <c r="H252" s="19"/>
      <c r="I252" s="19"/>
      <c r="J252" s="19"/>
      <c r="K252" s="19"/>
      <c r="L252" s="20"/>
    </row>
    <row r="253">
      <c r="A253" s="24"/>
      <c r="B253" s="20"/>
      <c r="C253" s="20"/>
      <c r="D253" s="19"/>
      <c r="E253" s="19"/>
      <c r="F253" s="19"/>
      <c r="G253" s="19"/>
      <c r="H253" s="19"/>
      <c r="I253" s="19"/>
      <c r="J253" s="19"/>
      <c r="K253" s="23"/>
      <c r="L253" s="11"/>
    </row>
    <row r="254">
      <c r="A254" s="24"/>
      <c r="B254" s="20"/>
      <c r="C254" s="20"/>
      <c r="D254" s="19"/>
      <c r="E254" s="19"/>
      <c r="F254" s="19"/>
      <c r="G254" s="19"/>
      <c r="H254" s="19"/>
      <c r="I254" s="19"/>
      <c r="J254" s="19"/>
      <c r="K254" s="20"/>
      <c r="L254" s="20"/>
    </row>
    <row r="255">
      <c r="A255" s="24"/>
      <c r="B255" s="20"/>
      <c r="C255" s="20"/>
      <c r="D255" s="19"/>
      <c r="E255" s="19"/>
      <c r="F255" s="19"/>
      <c r="G255" s="19"/>
      <c r="H255" s="19"/>
      <c r="I255" s="19"/>
      <c r="J255" s="19"/>
      <c r="K255" s="19"/>
      <c r="L255" s="20"/>
    </row>
    <row r="256">
      <c r="A256" s="24"/>
      <c r="B256" s="20"/>
      <c r="C256" s="20"/>
      <c r="D256" s="19"/>
      <c r="E256" s="19"/>
      <c r="F256" s="19"/>
      <c r="G256" s="19"/>
      <c r="H256" s="19"/>
      <c r="I256" s="19"/>
      <c r="J256" s="19"/>
      <c r="K256" s="20"/>
      <c r="L256" s="20"/>
    </row>
    <row r="257">
      <c r="A257" s="24"/>
      <c r="B257" s="20"/>
      <c r="C257" s="20"/>
      <c r="D257" s="19"/>
      <c r="E257" s="19"/>
      <c r="F257" s="19"/>
      <c r="G257" s="19"/>
      <c r="H257" s="19"/>
      <c r="I257" s="19"/>
      <c r="J257" s="19"/>
      <c r="K257" s="19"/>
      <c r="L257" s="20"/>
    </row>
    <row r="258">
      <c r="A258" s="24"/>
      <c r="B258" s="20"/>
      <c r="C258" s="20"/>
      <c r="D258" s="19"/>
      <c r="E258" s="19"/>
      <c r="F258" s="19"/>
      <c r="G258" s="19"/>
      <c r="H258" s="19"/>
      <c r="I258" s="19"/>
      <c r="J258" s="19"/>
      <c r="K258" s="23"/>
      <c r="L258" s="11"/>
    </row>
    <row r="259">
      <c r="A259" s="24"/>
      <c r="B259" s="20"/>
      <c r="C259" s="20"/>
      <c r="D259" s="19"/>
      <c r="E259" s="19"/>
      <c r="F259" s="19"/>
      <c r="G259" s="19"/>
      <c r="H259" s="19"/>
      <c r="I259" s="19"/>
      <c r="J259" s="19"/>
      <c r="K259" s="20"/>
      <c r="L259" s="20"/>
    </row>
    <row r="260">
      <c r="A260" s="24"/>
      <c r="B260" s="20"/>
      <c r="C260" s="20"/>
      <c r="D260" s="19"/>
      <c r="E260" s="19"/>
      <c r="F260" s="19"/>
      <c r="G260" s="19"/>
      <c r="H260" s="19"/>
      <c r="I260" s="19"/>
      <c r="J260" s="20"/>
      <c r="K260" s="19"/>
      <c r="L260" s="20"/>
    </row>
    <row r="261">
      <c r="A261" s="24"/>
      <c r="B261" s="20"/>
      <c r="C261" s="20"/>
      <c r="D261" s="19"/>
      <c r="E261" s="19"/>
      <c r="F261" s="19"/>
      <c r="G261" s="19"/>
      <c r="H261" s="19"/>
      <c r="I261" s="19"/>
      <c r="J261" s="19"/>
      <c r="K261" s="19"/>
      <c r="L261" s="20"/>
    </row>
    <row r="262">
      <c r="A262" s="24"/>
      <c r="B262" s="20"/>
      <c r="C262" s="20"/>
      <c r="D262" s="19"/>
      <c r="E262" s="19"/>
      <c r="F262" s="19"/>
      <c r="G262" s="19"/>
      <c r="H262" s="19"/>
      <c r="I262" s="19"/>
      <c r="J262" s="20"/>
      <c r="K262" s="19"/>
      <c r="L262" s="20"/>
    </row>
    <row r="263">
      <c r="A263" s="24"/>
      <c r="B263" s="20"/>
      <c r="C263" s="20"/>
      <c r="D263" s="19"/>
      <c r="E263" s="19"/>
      <c r="F263" s="19"/>
      <c r="G263" s="19"/>
      <c r="H263" s="19"/>
      <c r="I263" s="19"/>
      <c r="J263" s="19"/>
      <c r="K263" s="19"/>
      <c r="L263" s="20"/>
    </row>
    <row r="264">
      <c r="A264" s="24"/>
      <c r="B264" s="20"/>
      <c r="C264" s="20"/>
      <c r="D264" s="19"/>
      <c r="E264" s="19"/>
      <c r="F264" s="19"/>
      <c r="G264" s="19"/>
      <c r="H264" s="19"/>
      <c r="I264" s="19"/>
      <c r="J264" s="19"/>
      <c r="K264" s="20"/>
      <c r="L264" s="20"/>
    </row>
    <row r="265">
      <c r="A265" s="24"/>
      <c r="B265" s="20"/>
      <c r="C265" s="20"/>
      <c r="D265" s="19"/>
      <c r="E265" s="19"/>
      <c r="F265" s="19"/>
      <c r="G265" s="19"/>
      <c r="H265" s="19"/>
      <c r="I265" s="19"/>
      <c r="J265" s="19"/>
      <c r="K265" s="20"/>
      <c r="L265" s="20"/>
    </row>
    <row r="266">
      <c r="A266" s="24"/>
      <c r="B266" s="20"/>
      <c r="C266" s="20"/>
      <c r="D266" s="19"/>
      <c r="E266" s="19"/>
      <c r="F266" s="19"/>
      <c r="G266" s="19"/>
      <c r="H266" s="19"/>
      <c r="I266" s="19"/>
      <c r="J266" s="19"/>
      <c r="K266" s="19"/>
      <c r="L266" s="20"/>
    </row>
    <row r="267">
      <c r="A267" s="24"/>
      <c r="B267" s="20"/>
      <c r="C267" s="20"/>
      <c r="D267" s="19"/>
      <c r="E267" s="19"/>
      <c r="F267" s="19"/>
      <c r="G267" s="19"/>
      <c r="H267" s="19"/>
      <c r="I267" s="19"/>
      <c r="J267" s="19"/>
      <c r="K267" s="20"/>
      <c r="L267" s="20"/>
    </row>
    <row r="268">
      <c r="A268" s="24"/>
      <c r="B268" s="20"/>
      <c r="C268" s="20"/>
      <c r="D268" s="19"/>
      <c r="E268" s="19"/>
      <c r="F268" s="19"/>
      <c r="G268" s="19"/>
      <c r="H268" s="19"/>
      <c r="I268" s="19"/>
      <c r="J268" s="20"/>
      <c r="K268" s="19"/>
      <c r="L268" s="20"/>
    </row>
    <row r="269">
      <c r="A269" s="24"/>
      <c r="B269" s="20"/>
      <c r="C269" s="20"/>
      <c r="D269" s="19"/>
      <c r="E269" s="19"/>
      <c r="F269" s="19"/>
      <c r="G269" s="19"/>
      <c r="H269" s="19"/>
      <c r="I269" s="19"/>
      <c r="J269" s="20"/>
      <c r="K269" s="20"/>
      <c r="L269" s="20"/>
    </row>
    <row r="270">
      <c r="A270" s="24"/>
      <c r="B270" s="20"/>
      <c r="C270" s="20"/>
      <c r="D270" s="19"/>
      <c r="E270" s="19"/>
      <c r="F270" s="19"/>
      <c r="G270" s="19"/>
      <c r="H270" s="19"/>
      <c r="I270" s="19"/>
      <c r="J270" s="19"/>
      <c r="K270" s="20"/>
      <c r="L270" s="20"/>
    </row>
    <row r="271">
      <c r="A271" s="24"/>
      <c r="B271" s="20"/>
      <c r="C271" s="20"/>
      <c r="D271" s="19"/>
      <c r="E271" s="19"/>
      <c r="F271" s="19"/>
      <c r="G271" s="19"/>
      <c r="H271" s="19"/>
      <c r="I271" s="19"/>
      <c r="J271" s="19"/>
      <c r="K271" s="19"/>
      <c r="L271" s="20"/>
    </row>
    <row r="272">
      <c r="A272" s="24"/>
      <c r="B272" s="20"/>
      <c r="C272" s="20"/>
      <c r="D272" s="19"/>
      <c r="E272" s="19"/>
      <c r="F272" s="19"/>
      <c r="G272" s="19"/>
      <c r="H272" s="19"/>
      <c r="I272" s="19"/>
      <c r="J272" s="19"/>
      <c r="K272" s="20"/>
      <c r="L272" s="20"/>
    </row>
    <row r="273">
      <c r="A273" s="24"/>
      <c r="B273" s="20"/>
      <c r="C273" s="20"/>
      <c r="D273" s="19"/>
      <c r="E273" s="19"/>
      <c r="F273" s="19"/>
      <c r="G273" s="19"/>
      <c r="H273" s="19"/>
      <c r="I273" s="19"/>
      <c r="J273" s="19"/>
      <c r="K273" s="20"/>
      <c r="L273" s="20"/>
    </row>
    <row r="274">
      <c r="A274" s="24"/>
      <c r="B274" s="20"/>
      <c r="C274" s="20"/>
      <c r="D274" s="19"/>
      <c r="E274" s="19"/>
      <c r="F274" s="19"/>
      <c r="G274" s="19"/>
      <c r="H274" s="19"/>
      <c r="I274" s="19"/>
      <c r="J274" s="19"/>
      <c r="K274" s="19"/>
      <c r="L274" s="20"/>
    </row>
    <row r="275">
      <c r="A275" s="24"/>
      <c r="B275" s="20"/>
      <c r="C275" s="20"/>
      <c r="D275" s="19"/>
      <c r="E275" s="19"/>
      <c r="F275" s="19"/>
      <c r="G275" s="19"/>
      <c r="H275" s="19"/>
      <c r="I275" s="19"/>
      <c r="J275" s="19"/>
      <c r="K275" s="19"/>
      <c r="L275" s="20"/>
    </row>
    <row r="276">
      <c r="A276" s="24"/>
      <c r="B276" s="20"/>
      <c r="C276" s="20"/>
      <c r="D276" s="19"/>
      <c r="E276" s="19"/>
      <c r="F276" s="19"/>
      <c r="G276" s="19"/>
      <c r="H276" s="19"/>
      <c r="I276" s="19"/>
      <c r="J276" s="19"/>
      <c r="K276" s="24"/>
      <c r="L276" s="24"/>
    </row>
    <row r="277">
      <c r="A277" s="24"/>
      <c r="B277" s="20"/>
      <c r="C277" s="20"/>
      <c r="D277" s="19"/>
      <c r="E277" s="19"/>
      <c r="F277" s="19"/>
      <c r="G277" s="19"/>
      <c r="H277" s="19"/>
      <c r="I277" s="19"/>
      <c r="J277" s="19"/>
      <c r="K277" s="24"/>
      <c r="L277" s="24"/>
    </row>
    <row r="278">
      <c r="A278" s="24"/>
      <c r="B278" s="20"/>
      <c r="C278" s="20"/>
      <c r="D278" s="19"/>
      <c r="E278" s="19"/>
      <c r="F278" s="19"/>
      <c r="G278" s="19"/>
      <c r="H278" s="19"/>
      <c r="I278" s="19"/>
      <c r="J278" s="19"/>
      <c r="K278" s="19"/>
      <c r="L278" s="20"/>
    </row>
    <row r="279">
      <c r="A279" s="24"/>
      <c r="B279" s="20"/>
      <c r="C279" s="20"/>
      <c r="D279" s="19"/>
      <c r="E279" s="19"/>
      <c r="F279" s="19"/>
      <c r="G279" s="19"/>
      <c r="H279" s="19"/>
      <c r="I279" s="19"/>
      <c r="J279" s="19"/>
      <c r="K279" s="19"/>
      <c r="L279" s="20"/>
    </row>
    <row r="280">
      <c r="A280" s="24"/>
      <c r="B280" s="20"/>
      <c r="C280" s="20"/>
      <c r="D280" s="19"/>
      <c r="E280" s="19"/>
      <c r="F280" s="19"/>
      <c r="G280" s="19"/>
      <c r="H280" s="19"/>
      <c r="I280" s="19"/>
      <c r="J280" s="19"/>
      <c r="K280" s="20"/>
      <c r="L280" s="20"/>
    </row>
    <row r="281">
      <c r="A281" s="24"/>
      <c r="B281" s="20"/>
      <c r="C281" s="20"/>
      <c r="D281" s="19"/>
      <c r="E281" s="19"/>
      <c r="F281" s="19"/>
      <c r="G281" s="19"/>
      <c r="H281" s="19"/>
      <c r="I281" s="19"/>
      <c r="J281" s="19"/>
      <c r="K281" s="20"/>
      <c r="L281" s="20"/>
    </row>
    <row r="282">
      <c r="A282" s="24"/>
      <c r="B282" s="20"/>
      <c r="C282" s="20"/>
      <c r="D282" s="19"/>
      <c r="E282" s="19"/>
      <c r="F282" s="19"/>
      <c r="G282" s="19"/>
      <c r="H282" s="19"/>
      <c r="I282" s="19"/>
      <c r="J282" s="19"/>
      <c r="K282" s="20"/>
      <c r="L282" s="20"/>
    </row>
    <row r="283">
      <c r="A283" s="24"/>
      <c r="B283" s="20"/>
      <c r="C283" s="20"/>
      <c r="D283" s="19"/>
      <c r="E283" s="19"/>
      <c r="F283" s="19"/>
      <c r="G283" s="19"/>
      <c r="H283" s="19"/>
      <c r="I283" s="19"/>
      <c r="J283" s="19"/>
      <c r="K283" s="25"/>
      <c r="L283" s="24"/>
    </row>
    <row r="284">
      <c r="A284" s="24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>
      <c r="A285" s="24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>
      <c r="A286" s="24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>
      <c r="A287" s="24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>
      <c r="A288" s="24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>
      <c r="A289" s="24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>
      <c r="A290" s="24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>
      <c r="A291" s="24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>
      <c r="A292" s="24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>
      <c r="A293" s="24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>
      <c r="A294" s="24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>
      <c r="A295" s="24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>
      <c r="A296" s="24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>
      <c r="A297" s="24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>
      <c r="A298" s="24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>
      <c r="A299" s="24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>
      <c r="A300" s="24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>
      <c r="A301" s="24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>
      <c r="A302" s="24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>
      <c r="A303" s="24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>
      <c r="A304" s="24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>
      <c r="A305" s="24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>
      <c r="A306" s="24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>
      <c r="A307" s="24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>
      <c r="A308" s="24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>
      <c r="A309" s="24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>
      <c r="A310" s="24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>
      <c r="A311" s="24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>
      <c r="A312" s="24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>
      <c r="A313" s="24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>
      <c r="A314" s="24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>
      <c r="A315" s="24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>
      <c r="A316" s="24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>
      <c r="A317" s="24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>
      <c r="A318" s="24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>
      <c r="A319" s="24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>
      <c r="A320" s="24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>
      <c r="A321" s="24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>
      <c r="A322" s="24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>
      <c r="A323" s="24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>
      <c r="A324" s="24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>
      <c r="A325" s="24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>
      <c r="A326" s="24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>
      <c r="A327" s="24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>
      <c r="A328" s="24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>
      <c r="A329" s="24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>
      <c r="A330" s="24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>
      <c r="A331" s="24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>
      <c r="A332" s="24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>
      <c r="A333" s="24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>
      <c r="A334" s="24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>
      <c r="A335" s="24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>
      <c r="A336" s="24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>
      <c r="A337" s="24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>
      <c r="A338" s="24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>
      <c r="A339" s="24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>
      <c r="A340" s="24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>
      <c r="A341" s="24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>
      <c r="A342" s="24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>
      <c r="A343" s="24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>
      <c r="A344" s="24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>
      <c r="A345" s="24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>
      <c r="A346" s="24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>
      <c r="A347" s="24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>
      <c r="A348" s="24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>
      <c r="A349" s="24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>
      <c r="A350" s="24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>
      <c r="A351" s="24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>
      <c r="A352" s="24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>
      <c r="A353" s="24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>
      <c r="A354" s="24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>
      <c r="A355" s="24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>
      <c r="A356" s="24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>
      <c r="A357" s="24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>
      <c r="A358" s="24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>
      <c r="A359" s="24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>
      <c r="A360" s="24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>
      <c r="A361" s="24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>
      <c r="A362" s="24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>
      <c r="A363" s="24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>
      <c r="A364" s="24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>
      <c r="A365" s="24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>
      <c r="A366" s="24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>
      <c r="A367" s="24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>
      <c r="A368" s="24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>
      <c r="A369" s="24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>
      <c r="A370" s="24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>
      <c r="A371" s="24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>
      <c r="A372" s="24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>
      <c r="A373" s="24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>
      <c r="A374" s="24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>
      <c r="A375" s="24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>
      <c r="A376" s="24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>
      <c r="A377" s="24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>
      <c r="A378" s="24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>
      <c r="A379" s="24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>
      <c r="A380" s="24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>
      <c r="A381" s="24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>
      <c r="A382" s="24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>
      <c r="A383" s="24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>
      <c r="A384" s="24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>
      <c r="A385" s="24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>
      <c r="A386" s="24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>
      <c r="A387" s="24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>
      <c r="A388" s="24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>
      <c r="A389" s="24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>
      <c r="A390" s="24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>
      <c r="A391" s="24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>
      <c r="A392" s="24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>
      <c r="A393" s="24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>
      <c r="A394" s="24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>
      <c r="A395" s="24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>
      <c r="A396" s="24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>
      <c r="A397" s="24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>
      <c r="A398" s="24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>
      <c r="A399" s="24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>
      <c r="A400" s="24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>
      <c r="A401" s="24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>
      <c r="A402" s="24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>
      <c r="A403" s="24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>
      <c r="A404" s="24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>
      <c r="A405" s="24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>
      <c r="A406" s="24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>
      <c r="A407" s="24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>
      <c r="A408" s="24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>
      <c r="A409" s="24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>
      <c r="A410" s="24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>
      <c r="A411" s="24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>
      <c r="A412" s="24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>
      <c r="A413" s="24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>
      <c r="A414" s="24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>
      <c r="A415" s="24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>
      <c r="A416" s="24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>
      <c r="A417" s="24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>
      <c r="A418" s="24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>
      <c r="A419" s="24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>
      <c r="A420" s="24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>
      <c r="A421" s="24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>
      <c r="A422" s="24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>
      <c r="A423" s="24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>
      <c r="A424" s="24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>
      <c r="A425" s="24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>
      <c r="A426" s="24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>
      <c r="A427" s="24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>
      <c r="A428" s="24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>
      <c r="A429" s="24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>
      <c r="A430" s="24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>
      <c r="A431" s="24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>
      <c r="A432" s="24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>
      <c r="A433" s="24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>
      <c r="A434" s="24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>
      <c r="A435" s="24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>
      <c r="A436" s="24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>
      <c r="A437" s="24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>
      <c r="A438" s="24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>
      <c r="A439" s="24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>
      <c r="A440" s="24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>
      <c r="A441" s="24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>
      <c r="A442" s="24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>
      <c r="A443" s="24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>
      <c r="A444" s="24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>
      <c r="A445" s="24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>
      <c r="A446" s="24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>
      <c r="A447" s="24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>
      <c r="A448" s="24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>
      <c r="A449" s="24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>
      <c r="A450" s="24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>
      <c r="A451" s="24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>
      <c r="A452" s="24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>
      <c r="A453" s="24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>
      <c r="A454" s="24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>
      <c r="A455" s="24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>
      <c r="A456" s="24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>
      <c r="A457" s="24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>
      <c r="A458" s="24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>
      <c r="A459" s="24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>
      <c r="A460" s="24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>
      <c r="A461" s="24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>
      <c r="A462" s="24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>
      <c r="A463" s="24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>
      <c r="A464" s="24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>
      <c r="A465" s="24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>
      <c r="A466" s="24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>
      <c r="A467" s="24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>
      <c r="A468" s="24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>
      <c r="A469" s="24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>
      <c r="A470" s="24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>
      <c r="A471" s="24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>
      <c r="A472" s="24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>
      <c r="A473" s="24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>
      <c r="A474" s="24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>
      <c r="A475" s="24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>
      <c r="A476" s="24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>
      <c r="A477" s="24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>
      <c r="A478" s="24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>
      <c r="A479" s="24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>
      <c r="A480" s="24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>
      <c r="A481" s="24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>
      <c r="A482" s="24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>
      <c r="A483" s="24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>
      <c r="A484" s="24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>
      <c r="A485" s="24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>
      <c r="A486" s="24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>
      <c r="A487" s="24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>
      <c r="A488" s="24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>
      <c r="A489" s="24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>
      <c r="A490" s="24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>
      <c r="A491" s="24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>
      <c r="A492" s="24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>
      <c r="A493" s="24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>
      <c r="A494" s="24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>
      <c r="A495" s="24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>
      <c r="A496" s="24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>
      <c r="A497" s="24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>
      <c r="A498" s="24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>
      <c r="A499" s="24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>
      <c r="A500" s="24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>
      <c r="A501" s="24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>
      <c r="A502" s="24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>
      <c r="A503" s="24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>
      <c r="A504" s="24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>
      <c r="A505" s="24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>
      <c r="A506" s="24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>
      <c r="A507" s="24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>
      <c r="A508" s="24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>
      <c r="A509" s="24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>
      <c r="A510" s="24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>
      <c r="A511" s="24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>
      <c r="A512" s="24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>
      <c r="A513" s="24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>
      <c r="A514" s="24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>
      <c r="A515" s="24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>
      <c r="A516" s="24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>
      <c r="A517" s="24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>
      <c r="A518" s="24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>
      <c r="A519" s="24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>
      <c r="A520" s="24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>
      <c r="A521" s="24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>
      <c r="A522" s="24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>
      <c r="A523" s="24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>
      <c r="A524" s="24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>
      <c r="A525" s="24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>
      <c r="A526" s="24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>
      <c r="A527" s="24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>
      <c r="A528" s="24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>
      <c r="A529" s="24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>
      <c r="A530" s="24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>
      <c r="A531" s="24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>
      <c r="A532" s="24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>
      <c r="A533" s="24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>
      <c r="A534" s="24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>
      <c r="A535" s="24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>
      <c r="A536" s="24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>
      <c r="A537" s="24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>
      <c r="A538" s="24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4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4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4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4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4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4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4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4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4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4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4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4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4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4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4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4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4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4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4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4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4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4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4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4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4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4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4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4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4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4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4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4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4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4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4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4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4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4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4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4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4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4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4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4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4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4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4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4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4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4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4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4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4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4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4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4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4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4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4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4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4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4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4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4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4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4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4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4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4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4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4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4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4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4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4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4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4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4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4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4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4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4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4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4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4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4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4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4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4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4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4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4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4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4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4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4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4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4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4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4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4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4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4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4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4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4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4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4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4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4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4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4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4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4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4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4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4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4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4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4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4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4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4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4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4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4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4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4"/>
      <c r="B666" s="24"/>
      <c r="C666" s="24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4"/>
      <c r="B667" s="24"/>
      <c r="C667" s="24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4"/>
      <c r="B668" s="24"/>
      <c r="C668" s="24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4"/>
      <c r="B669" s="24"/>
      <c r="C669" s="24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4"/>
      <c r="B670" s="24"/>
      <c r="C670" s="24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4"/>
      <c r="B671" s="24"/>
      <c r="C671" s="24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4"/>
      <c r="B672" s="24"/>
      <c r="C672" s="24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4"/>
      <c r="B673" s="24"/>
      <c r="C673" s="24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4"/>
      <c r="B674" s="24"/>
      <c r="C674" s="24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4"/>
      <c r="B675" s="24"/>
      <c r="C675" s="24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4"/>
      <c r="B676" s="24"/>
      <c r="C676" s="24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4"/>
      <c r="B677" s="24"/>
      <c r="C677" s="24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4"/>
      <c r="B678" s="24"/>
      <c r="C678" s="24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4"/>
      <c r="B679" s="24"/>
      <c r="C679" s="24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4"/>
      <c r="B680" s="24"/>
      <c r="C680" s="24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4"/>
      <c r="B681" s="24"/>
      <c r="C681" s="24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4"/>
      <c r="B682" s="24"/>
      <c r="C682" s="24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4"/>
      <c r="B683" s="24"/>
      <c r="C683" s="24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4"/>
      <c r="B684" s="24"/>
      <c r="C684" s="24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4"/>
      <c r="B685" s="24"/>
      <c r="C685" s="24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4"/>
      <c r="B686" s="24"/>
      <c r="C686" s="24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4"/>
      <c r="B687" s="24"/>
      <c r="C687" s="24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4"/>
      <c r="B688" s="24"/>
      <c r="C688" s="24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4"/>
      <c r="B689" s="24"/>
      <c r="C689" s="24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4"/>
      <c r="B690" s="24"/>
      <c r="C690" s="24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4"/>
      <c r="B691" s="24"/>
      <c r="C691" s="24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4"/>
      <c r="B692" s="24"/>
      <c r="C692" s="24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4"/>
      <c r="B693" s="24"/>
      <c r="C693" s="24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4"/>
      <c r="B694" s="24"/>
      <c r="C694" s="24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4"/>
      <c r="B695" s="24"/>
      <c r="C695" s="24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4"/>
      <c r="B696" s="24"/>
      <c r="C696" s="24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4"/>
      <c r="B697" s="24"/>
      <c r="C697" s="24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4"/>
      <c r="B698" s="24"/>
      <c r="C698" s="24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4"/>
      <c r="B699" s="24"/>
      <c r="C699" s="24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4"/>
      <c r="B700" s="24"/>
      <c r="C700" s="24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4"/>
      <c r="B701" s="24"/>
      <c r="C701" s="24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4"/>
      <c r="B702" s="24"/>
      <c r="C702" s="24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4"/>
      <c r="B703" s="24"/>
      <c r="C703" s="24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4"/>
      <c r="B704" s="24"/>
      <c r="C704" s="24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4"/>
      <c r="B705" s="24"/>
      <c r="C705" s="24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4"/>
      <c r="B706" s="24"/>
      <c r="C706" s="24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4"/>
      <c r="B707" s="24"/>
      <c r="C707" s="24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4"/>
      <c r="B708" s="24"/>
      <c r="C708" s="24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4"/>
      <c r="B709" s="24"/>
      <c r="C709" s="24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4"/>
      <c r="B710" s="24"/>
      <c r="C710" s="24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4"/>
      <c r="B711" s="24"/>
      <c r="C711" s="24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4"/>
      <c r="B712" s="24"/>
      <c r="C712" s="24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4"/>
      <c r="B713" s="24"/>
      <c r="C713" s="24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4"/>
      <c r="B714" s="24"/>
      <c r="C714" s="24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4"/>
      <c r="B715" s="24"/>
      <c r="C715" s="24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4"/>
      <c r="B716" s="24"/>
      <c r="C716" s="24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4"/>
      <c r="B717" s="24"/>
      <c r="C717" s="24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4"/>
      <c r="B718" s="24"/>
      <c r="C718" s="24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4"/>
      <c r="B719" s="24"/>
      <c r="C719" s="24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4"/>
      <c r="B720" s="24"/>
      <c r="C720" s="24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4"/>
      <c r="B721" s="24"/>
      <c r="C721" s="24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4"/>
      <c r="B722" s="24"/>
      <c r="C722" s="24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4"/>
      <c r="B723" s="24"/>
      <c r="C723" s="24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4"/>
      <c r="B724" s="24"/>
      <c r="C724" s="24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4"/>
      <c r="B725" s="24"/>
      <c r="C725" s="24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4"/>
      <c r="B726" s="24"/>
      <c r="C726" s="24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4"/>
      <c r="B727" s="24"/>
      <c r="C727" s="24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4"/>
      <c r="B728" s="24"/>
      <c r="C728" s="24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4"/>
      <c r="B729" s="24"/>
      <c r="C729" s="24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4"/>
      <c r="B730" s="24"/>
      <c r="C730" s="24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4"/>
      <c r="B731" s="24"/>
      <c r="C731" s="24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4"/>
      <c r="B732" s="24"/>
      <c r="C732" s="24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4"/>
      <c r="B733" s="24"/>
      <c r="C733" s="24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4"/>
      <c r="B734" s="24"/>
      <c r="C734" s="24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4"/>
      <c r="B735" s="24"/>
      <c r="C735" s="24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4"/>
      <c r="B736" s="24"/>
      <c r="C736" s="24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4"/>
      <c r="B737" s="24"/>
      <c r="C737" s="24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4"/>
      <c r="B738" s="24"/>
      <c r="C738" s="24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4"/>
      <c r="B739" s="24"/>
      <c r="C739" s="24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4"/>
      <c r="B740" s="24"/>
      <c r="C740" s="24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4"/>
      <c r="B741" s="24"/>
      <c r="C741" s="24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4"/>
      <c r="B742" s="24"/>
      <c r="C742" s="24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4"/>
      <c r="B743" s="24"/>
      <c r="C743" s="24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4"/>
      <c r="B744" s="24"/>
      <c r="C744" s="24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4"/>
      <c r="B745" s="24"/>
      <c r="C745" s="24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4"/>
      <c r="B746" s="24"/>
      <c r="C746" s="24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4"/>
      <c r="B747" s="24"/>
      <c r="C747" s="24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4"/>
      <c r="B748" s="24"/>
      <c r="C748" s="24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4"/>
      <c r="B749" s="24"/>
      <c r="C749" s="24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4"/>
      <c r="B750" s="24"/>
      <c r="C750" s="24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4"/>
      <c r="B751" s="24"/>
      <c r="C751" s="24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4"/>
      <c r="B752" s="24"/>
      <c r="C752" s="24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4"/>
      <c r="B753" s="24"/>
      <c r="C753" s="24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4"/>
      <c r="B754" s="24"/>
      <c r="C754" s="24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4"/>
      <c r="B755" s="24"/>
      <c r="C755" s="24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4"/>
      <c r="B756" s="24"/>
      <c r="C756" s="24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4"/>
      <c r="B757" s="24"/>
      <c r="C757" s="24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4"/>
      <c r="B758" s="24"/>
      <c r="C758" s="24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4"/>
      <c r="B759" s="24"/>
      <c r="C759" s="24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4"/>
      <c r="B760" s="24"/>
      <c r="C760" s="24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4"/>
      <c r="B761" s="24"/>
      <c r="C761" s="24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4"/>
      <c r="B762" s="24"/>
      <c r="C762" s="24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4"/>
      <c r="B763" s="24"/>
      <c r="C763" s="24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4"/>
      <c r="B764" s="24"/>
      <c r="C764" s="24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4"/>
      <c r="B765" s="24"/>
      <c r="C765" s="24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4"/>
      <c r="B766" s="24"/>
      <c r="C766" s="24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4"/>
      <c r="B767" s="24"/>
      <c r="C767" s="24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4"/>
      <c r="B768" s="24"/>
      <c r="C768" s="24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4"/>
      <c r="B769" s="24"/>
      <c r="C769" s="24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4"/>
      <c r="B770" s="24"/>
      <c r="C770" s="24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4"/>
      <c r="B771" s="24"/>
      <c r="C771" s="24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4"/>
      <c r="B772" s="24"/>
      <c r="C772" s="24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4"/>
      <c r="B773" s="24"/>
      <c r="C773" s="24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4"/>
      <c r="B774" s="24"/>
      <c r="C774" s="24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4"/>
      <c r="B775" s="24"/>
      <c r="C775" s="24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4"/>
      <c r="B776" s="24"/>
      <c r="C776" s="24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4"/>
      <c r="B777" s="24"/>
      <c r="C777" s="24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4"/>
      <c r="B778" s="24"/>
      <c r="C778" s="24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4"/>
      <c r="B779" s="24"/>
      <c r="C779" s="24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4"/>
      <c r="B780" s="24"/>
      <c r="C780" s="24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4"/>
      <c r="B781" s="24"/>
      <c r="C781" s="24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4"/>
      <c r="B782" s="24"/>
      <c r="C782" s="24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4"/>
      <c r="B783" s="24"/>
      <c r="C783" s="24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4"/>
      <c r="B784" s="24"/>
      <c r="C784" s="24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4"/>
      <c r="B785" s="24"/>
      <c r="C785" s="24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4"/>
      <c r="B786" s="24"/>
      <c r="C786" s="24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4"/>
      <c r="B787" s="24"/>
      <c r="C787" s="24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4"/>
      <c r="B788" s="24"/>
      <c r="C788" s="24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4"/>
      <c r="B789" s="24"/>
      <c r="C789" s="24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4"/>
      <c r="B790" s="24"/>
      <c r="C790" s="24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4"/>
      <c r="B791" s="24"/>
      <c r="C791" s="24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4"/>
      <c r="B792" s="24"/>
      <c r="C792" s="24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4"/>
      <c r="B793" s="24"/>
      <c r="C793" s="24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4"/>
      <c r="B794" s="24"/>
      <c r="C794" s="24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4"/>
      <c r="B795" s="24"/>
      <c r="C795" s="24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4"/>
      <c r="B796" s="24"/>
      <c r="C796" s="24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4"/>
      <c r="B797" s="24"/>
      <c r="C797" s="24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4"/>
      <c r="B798" s="24"/>
      <c r="C798" s="24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4"/>
      <c r="B799" s="24"/>
      <c r="C799" s="24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4"/>
      <c r="B800" s="24"/>
      <c r="C800" s="24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4"/>
      <c r="B801" s="24"/>
      <c r="C801" s="24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4"/>
      <c r="B802" s="24"/>
      <c r="C802" s="24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4"/>
      <c r="B803" s="24"/>
      <c r="C803" s="24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4"/>
      <c r="B804" s="24"/>
      <c r="C804" s="24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4"/>
      <c r="B805" s="24"/>
      <c r="C805" s="24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4"/>
      <c r="B806" s="24"/>
      <c r="C806" s="24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4"/>
      <c r="B807" s="24"/>
      <c r="C807" s="24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4"/>
      <c r="B808" s="24"/>
      <c r="C808" s="24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4"/>
      <c r="B809" s="24"/>
      <c r="C809" s="24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4"/>
      <c r="B810" s="24"/>
      <c r="C810" s="24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4"/>
      <c r="B811" s="24"/>
      <c r="C811" s="24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4"/>
      <c r="B812" s="24"/>
      <c r="C812" s="24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4"/>
      <c r="B813" s="24"/>
      <c r="C813" s="24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4"/>
      <c r="B814" s="24"/>
      <c r="C814" s="24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4"/>
      <c r="B815" s="24"/>
      <c r="C815" s="24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4"/>
      <c r="B816" s="24"/>
      <c r="C816" s="24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4"/>
      <c r="B817" s="24"/>
      <c r="C817" s="24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4"/>
      <c r="B818" s="24"/>
      <c r="C818" s="24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4"/>
      <c r="B819" s="24"/>
      <c r="C819" s="24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4"/>
      <c r="B820" s="24"/>
      <c r="C820" s="24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4"/>
      <c r="B821" s="24"/>
      <c r="C821" s="24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4"/>
      <c r="B822" s="24"/>
      <c r="C822" s="24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4"/>
      <c r="B823" s="24"/>
      <c r="C823" s="24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4"/>
      <c r="B824" s="24"/>
      <c r="C824" s="24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4"/>
      <c r="B825" s="24"/>
      <c r="C825" s="24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4"/>
      <c r="B826" s="24"/>
      <c r="C826" s="24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4"/>
      <c r="B827" s="24"/>
      <c r="C827" s="24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4"/>
      <c r="B828" s="24"/>
      <c r="C828" s="24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4"/>
      <c r="B829" s="24"/>
      <c r="C829" s="24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4"/>
      <c r="B830" s="24"/>
      <c r="C830" s="24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4"/>
      <c r="B831" s="24"/>
      <c r="C831" s="24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4"/>
      <c r="B832" s="24"/>
      <c r="C832" s="24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4"/>
      <c r="B833" s="24"/>
      <c r="C833" s="24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4"/>
      <c r="B834" s="24"/>
      <c r="C834" s="24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4"/>
      <c r="B835" s="24"/>
      <c r="C835" s="24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4"/>
      <c r="B836" s="24"/>
      <c r="C836" s="24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4"/>
      <c r="B837" s="24"/>
      <c r="C837" s="24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4"/>
      <c r="B838" s="24"/>
      <c r="C838" s="24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4"/>
      <c r="B839" s="24"/>
      <c r="C839" s="24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4"/>
      <c r="B840" s="24"/>
      <c r="C840" s="24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4"/>
      <c r="B841" s="24"/>
      <c r="C841" s="24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4"/>
      <c r="B842" s="24"/>
      <c r="C842" s="24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4"/>
      <c r="B843" s="24"/>
      <c r="C843" s="24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4"/>
      <c r="B844" s="24"/>
      <c r="C844" s="24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4"/>
      <c r="B845" s="24"/>
      <c r="C845" s="24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4"/>
      <c r="B846" s="24"/>
      <c r="C846" s="24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4"/>
      <c r="B847" s="24"/>
      <c r="C847" s="24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4"/>
      <c r="B848" s="24"/>
      <c r="C848" s="24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4"/>
      <c r="B849" s="24"/>
      <c r="C849" s="24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4"/>
      <c r="B850" s="24"/>
      <c r="C850" s="24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4"/>
      <c r="B851" s="24"/>
      <c r="C851" s="24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4"/>
      <c r="B852" s="24"/>
      <c r="C852" s="24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4"/>
      <c r="B853" s="24"/>
      <c r="C853" s="24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4"/>
      <c r="B854" s="24"/>
      <c r="C854" s="24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4"/>
      <c r="B855" s="24"/>
      <c r="C855" s="24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4"/>
      <c r="B856" s="24"/>
      <c r="C856" s="24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4"/>
      <c r="B857" s="24"/>
      <c r="C857" s="24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4"/>
      <c r="B858" s="24"/>
      <c r="C858" s="24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4"/>
      <c r="B859" s="24"/>
      <c r="C859" s="24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4"/>
      <c r="B860" s="24"/>
      <c r="C860" s="24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4"/>
      <c r="B861" s="24"/>
      <c r="C861" s="24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4"/>
      <c r="B862" s="24"/>
      <c r="C862" s="24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4"/>
      <c r="B863" s="24"/>
      <c r="C863" s="24"/>
      <c r="D863" s="20"/>
      <c r="E863" s="20"/>
      <c r="F863" s="20"/>
      <c r="G863" s="20"/>
      <c r="H863" s="20"/>
      <c r="I863" s="20"/>
      <c r="J863" s="20"/>
      <c r="K863" s="20"/>
      <c r="L863" s="20"/>
    </row>
  </sheetData>
  <mergeCells count="22">
    <mergeCell ref="K239:L239"/>
    <mergeCell ref="K240:L240"/>
    <mergeCell ref="K249:L249"/>
    <mergeCell ref="K253:L253"/>
    <mergeCell ref="K258:L258"/>
    <mergeCell ref="K223:L223"/>
    <mergeCell ref="K224:L224"/>
    <mergeCell ref="K226:L226"/>
    <mergeCell ref="K228:L228"/>
    <mergeCell ref="K237:L237"/>
    <mergeCell ref="K27:L27"/>
    <mergeCell ref="K72:L72"/>
    <mergeCell ref="K73:L73"/>
    <mergeCell ref="K116:L116"/>
    <mergeCell ref="K198:L198"/>
    <mergeCell ref="K204:L204"/>
    <mergeCell ref="K210:L210"/>
    <mergeCell ref="K211:L211"/>
    <mergeCell ref="K222:L222"/>
    <mergeCell ref="K11:L11"/>
    <mergeCell ref="K16:L16"/>
    <mergeCell ref="K127:L127"/>
  </mergeCells>
  <drawing r:id="rId1"/>
</worksheet>
</file>