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rang tính1" sheetId="1" r:id="rId4"/>
  </sheets>
  <definedNames/>
  <calcPr/>
</workbook>
</file>

<file path=xl/sharedStrings.xml><?xml version="1.0" encoding="utf-8"?>
<sst xmlns="http://schemas.openxmlformats.org/spreadsheetml/2006/main" count="1891" uniqueCount="892">
  <si>
    <t>Key</t>
  </si>
  <si>
    <t>Rep1</t>
  </si>
  <si>
    <t>Rep2</t>
  </si>
  <si>
    <t>Rep3</t>
  </si>
  <si>
    <t>Rep4</t>
  </si>
  <si>
    <t>A1</t>
  </si>
  <si>
    <t>东神402</t>
  </si>
  <si>
    <t>1人可生 生13起</t>
  </si>
  <si>
    <t>神奈川県横浜市神奈川区東神奈川1-14-35 サンハロー東神奈川駅前 402号室</t>
  </si>
  <si>
    <t>11-2</t>
  </si>
  <si>
    <t>可以</t>
  </si>
  <si>
    <t>没有</t>
  </si>
  <si>
    <t>2回20起 没有女孩照片</t>
  </si>
  <si>
    <t>A2</t>
  </si>
  <si>
    <t>东神奈川3F</t>
  </si>
  <si>
    <t>1人不生</t>
  </si>
  <si>
    <t>神奈川県横浜市神奈川区二ツ谷町2-10 餃子やと同じ建物の3階、看板：美鈴怨</t>
  </si>
  <si>
    <t>12-2</t>
  </si>
  <si>
    <t>有店客</t>
  </si>
  <si>
    <t>回信慢</t>
  </si>
  <si>
    <t>A4</t>
  </si>
  <si>
    <t>新横滨0616</t>
  </si>
  <si>
    <t>神奈川県横浜市港北区新横浜3-21-2 プロシード新横浜 6階の0616号室（门禁按616呼出）</t>
  </si>
  <si>
    <t>提前告诉客人露脸看镜头 2回最低20000</t>
  </si>
  <si>
    <t>A7</t>
  </si>
  <si>
    <t>横滨302</t>
  </si>
  <si>
    <t>神奈川県横浜市戸塚区戸塚町4872 ウエストウインハイム 302号室</t>
  </si>
  <si>
    <t>A8</t>
  </si>
  <si>
    <t>登户306</t>
  </si>
  <si>
    <t>神奈川県川崎市多摩区登戸3287-2 スカイコートノボリト 306号室</t>
  </si>
  <si>
    <t>A9</t>
  </si>
  <si>
    <t>武藏小杉601</t>
  </si>
  <si>
    <t>神奈川県川崎市中原区新丸子東2-926-15 マノア武蔵小杉 601号室</t>
  </si>
  <si>
    <t>不接3回 2回20起</t>
  </si>
  <si>
    <t>A11</t>
  </si>
  <si>
    <t>川崎704</t>
  </si>
  <si>
    <t>2人1个生可双</t>
  </si>
  <si>
    <r>
      <rPr>
        <rFont val="等线"/>
        <color rgb="FF000000"/>
        <sz val="18.0"/>
      </rPr>
      <t xml:space="preserve">神奈川県川崎市川崎区南町21-12 スカイコートパシフィック川崎 704号室 </t>
    </r>
    <r>
      <rPr>
        <rFont val="等线"/>
        <b/>
        <color rgb="FFFFFFFF"/>
        <sz val="18.0"/>
      </rPr>
      <t>下午女孩到了通知</t>
    </r>
  </si>
  <si>
    <t>A12</t>
  </si>
  <si>
    <t>川崎207</t>
  </si>
  <si>
    <t>神奈川県川崎市川崎区日進町6-1 スカイコート川崎4 207号室</t>
  </si>
  <si>
    <t>A13</t>
  </si>
  <si>
    <t>川崎306</t>
  </si>
  <si>
    <t>神奈川県川崎市川崎区南町2-24 ライオンズマンション川崎駅南 306号室</t>
  </si>
  <si>
    <t>不能</t>
  </si>
  <si>
    <t>没有女孩照片</t>
  </si>
  <si>
    <t>A15</t>
  </si>
  <si>
    <t>美满群-鹤见806</t>
  </si>
  <si>
    <t>1人可生</t>
  </si>
  <si>
    <t>神奈川県横浜市鶴見区鶴見中央5丁目10-2 ヴェラハイツ鶴見 806号室</t>
  </si>
  <si>
    <t>有门禁按房号呼出，上楼后轻轻敲门，附近有收费停车场</t>
  </si>
  <si>
    <t>A16</t>
  </si>
  <si>
    <t>鹤见711</t>
  </si>
  <si>
    <t>神奈川県横浜市鶴見区鶴見中央1丁目10-3 鶴見ハウス 711号室</t>
  </si>
  <si>
    <t>经常回信慢 偶尔失联</t>
  </si>
  <si>
    <t>A17</t>
  </si>
  <si>
    <t>鹤见404</t>
  </si>
  <si>
    <t>神奈川県横浜市鶴見区鶴見中央1-2-4 GSプラザ鶴見駅前ビル 404号室</t>
  </si>
  <si>
    <t>11-1</t>
  </si>
  <si>
    <t>A20</t>
  </si>
  <si>
    <t>鹤见409</t>
  </si>
  <si>
    <t>神奈川県横浜市鶴見区鶴見中央1-5-5 アオキビル第28 409号室</t>
  </si>
  <si>
    <t>A21</t>
  </si>
  <si>
    <t>相模大野606</t>
  </si>
  <si>
    <t>神奈川県相模原市南区相模大野7-3-1 メゾン・カネト 606号室</t>
  </si>
  <si>
    <t>A23</t>
  </si>
  <si>
    <t>中央林间201</t>
  </si>
  <si>
    <t>神奈川県大和市中央林間4-1-5 メゾンラフィッテ 201号室</t>
  </si>
  <si>
    <t>A26</t>
  </si>
  <si>
    <t>美满群-户塚208</t>
  </si>
  <si>
    <t>神奈川県横浜市戸塚区上倉田町1000 ハイツ山重 208号室</t>
  </si>
  <si>
    <t>没有门禁，上楼按铃，附近有收费停车场</t>
  </si>
  <si>
    <t>A27</t>
  </si>
  <si>
    <t>横须贺404</t>
  </si>
  <si>
    <t>神奈川県横須賀市日の出町1-2-7 ノイエヨコスカ1番館 404号室</t>
  </si>
  <si>
    <t>有门禁按房号呼出</t>
  </si>
  <si>
    <t>A28</t>
  </si>
  <si>
    <t>美满群-藤沢402</t>
  </si>
  <si>
    <t>神奈川県藤沢市鵠沼橘1丁目17-14 メゾンド橘 402号室</t>
  </si>
  <si>
    <t>没有门禁，附近有收费停车场</t>
  </si>
  <si>
    <t>A29</t>
  </si>
  <si>
    <t>藤沢801</t>
  </si>
  <si>
    <t>神奈川県藤沢市鵠沼花沢町2-2 グレースコート湘南 801号室</t>
  </si>
  <si>
    <t>A30</t>
  </si>
  <si>
    <t>藤沢303</t>
  </si>
  <si>
    <t>2人不生可双</t>
  </si>
  <si>
    <t>神奈川県藤沢市藤沢1031-1 日神パレステージ藤沢 303号室</t>
  </si>
  <si>
    <t>A32</t>
  </si>
  <si>
    <t>美满群-茅ヶ崎702</t>
  </si>
  <si>
    <t>神奈川県茅ヶ崎市新栄町13-16 茅ヶ崎ダイカンプラザシティ 702号室</t>
  </si>
  <si>
    <t>有门禁按房号呼出，附近有收费停车场</t>
  </si>
  <si>
    <t>A33</t>
  </si>
  <si>
    <t>海老名201</t>
  </si>
  <si>
    <t>神奈川県海老名市国分南1丁目11-6 フレクション海老名国分 201号室</t>
  </si>
  <si>
    <t>12-1</t>
  </si>
  <si>
    <t>B1</t>
  </si>
  <si>
    <t>龟户302</t>
  </si>
  <si>
    <t>2人不生</t>
  </si>
  <si>
    <t>東京都江東区亀戸6-12-7 第2伸光マンション 302号室</t>
  </si>
  <si>
    <t>B2</t>
  </si>
  <si>
    <t>龟户503</t>
  </si>
  <si>
    <t>2人可生可双</t>
  </si>
  <si>
    <t>東京都江東区亀戸6丁目44-4 RESIDENCETOKYO亀戸Ⅱ 503号室</t>
  </si>
  <si>
    <t>B3</t>
  </si>
  <si>
    <t>美满群-龟户504</t>
  </si>
  <si>
    <t>東京都江東区亀戸6丁目47-2 ウィンベル亀戸(MONTHLY亀戸1) 504号室</t>
  </si>
  <si>
    <t>B4</t>
  </si>
  <si>
    <t>小岩903</t>
  </si>
  <si>
    <t>東京都江戸川区西小岩1丁目30-11 ハイホーム沖田 903号室</t>
  </si>
  <si>
    <t>没有门禁</t>
  </si>
  <si>
    <t>B5</t>
  </si>
  <si>
    <t>綾瀬704</t>
  </si>
  <si>
    <t>東京都足立区綾瀬3-9-7 VERXEED綾瀬駅前 704号室</t>
  </si>
  <si>
    <t>12-24</t>
  </si>
  <si>
    <t>B7</t>
  </si>
  <si>
    <t>青井402</t>
  </si>
  <si>
    <t>東京都足立区青井2丁目24-5 コートアオイ 402号室</t>
  </si>
  <si>
    <t>没有门禁 附近有收费停车场</t>
  </si>
  <si>
    <t>B8</t>
  </si>
  <si>
    <t>日暮里406</t>
  </si>
  <si>
    <t>東京都台東区根岸2-21-13 ジョイフル根岸 406号室</t>
  </si>
  <si>
    <t>不能找零 不接2回</t>
  </si>
  <si>
    <t>B9</t>
  </si>
  <si>
    <t>錦糸町202</t>
  </si>
  <si>
    <t>東京都墨田区錦糸1-6-9 メインステージ錦糸町駅前 202号室</t>
  </si>
  <si>
    <t>B10</t>
  </si>
  <si>
    <t>池袋一户建</t>
  </si>
  <si>
    <t>東京都豊島区池袋本町4丁目30-15</t>
  </si>
  <si>
    <t>B11</t>
  </si>
  <si>
    <t>駒込201</t>
  </si>
  <si>
    <t>1人不生 不接2回</t>
  </si>
  <si>
    <t>東京都豊島区駒込2-4-2ペニンシュラ・コマゴメ 201号室</t>
  </si>
  <si>
    <t>偶尔有店客没通知</t>
  </si>
  <si>
    <t>B12</t>
  </si>
  <si>
    <t>美满群-成增109</t>
  </si>
  <si>
    <t>東京都板橋区赤塚3丁目19-8 TOP成増2 109号室</t>
  </si>
  <si>
    <t>没有门禁，轻轻敲门，附近有收费停车场</t>
  </si>
  <si>
    <t>B13</t>
  </si>
  <si>
    <t>蒲田214</t>
  </si>
  <si>
    <t>東京都大田区西蒲田8-22-3 インペリアル蒲田 214号室</t>
  </si>
  <si>
    <t>B14</t>
  </si>
  <si>
    <t>蒲田802</t>
  </si>
  <si>
    <t>2人可生可套双</t>
  </si>
  <si>
    <t>東京都大田区西蒲田7-29-5 ニューカマタビル 802号室</t>
  </si>
  <si>
    <t>偶尔回信慢</t>
  </si>
  <si>
    <t>B16</t>
  </si>
  <si>
    <t>蒲田601</t>
  </si>
  <si>
    <t>東京都大田区西蒲田7-7-1 グレイス蒲田 601号室</t>
  </si>
  <si>
    <t>B17</t>
  </si>
  <si>
    <t>小川町3F</t>
  </si>
  <si>
    <t>東京都千代田区神田小川町1丁目6-2 古室ビル 3階です</t>
  </si>
  <si>
    <t>附近有收费停车场</t>
  </si>
  <si>
    <t>B20</t>
  </si>
  <si>
    <t>荻窪2F</t>
  </si>
  <si>
    <t>東京都杉並区上荻1-15-13 柴ビル 2階のエミにという店</t>
  </si>
  <si>
    <t>B21</t>
  </si>
  <si>
    <t>荻窪205</t>
  </si>
  <si>
    <t>東京都杉並区上荻1丁目11-5 ロゼリウス荻窪 205号室</t>
  </si>
  <si>
    <t>B22</t>
  </si>
  <si>
    <t>新宿301</t>
  </si>
  <si>
    <t>3人可生可双</t>
  </si>
  <si>
    <t>東京都新宿区新宿5-18-11 谷川ビル 301号室 看板：麗人堂</t>
  </si>
  <si>
    <t>B24</t>
  </si>
  <si>
    <t>笹塚504</t>
  </si>
  <si>
    <t>東京都渋谷区笹塚2丁目14-15 ウェルト笹塚ツイン1 504号室</t>
  </si>
  <si>
    <t>B26</t>
  </si>
  <si>
    <t>涉谷802</t>
  </si>
  <si>
    <t>東京都渋谷区宇田川町36-2 ノア渋谷 802号室</t>
  </si>
  <si>
    <t>11-24</t>
  </si>
  <si>
    <t>是看板店</t>
  </si>
  <si>
    <t>B27</t>
  </si>
  <si>
    <t>駒沢大学903</t>
  </si>
  <si>
    <t>東京都世田谷区野沢2丁目34-5 Aden駒沢大学 903号室</t>
  </si>
  <si>
    <t>B28</t>
  </si>
  <si>
    <t>立川215</t>
  </si>
  <si>
    <t>東京都立川市曙町1丁目36-9 多摩セントラルビル 215号室</t>
  </si>
  <si>
    <t>B29</t>
  </si>
  <si>
    <t>立川201</t>
  </si>
  <si>
    <t>東京都立川市錦町1-5-25 コーポあきば 201号室</t>
  </si>
  <si>
    <t>不接3回 2回或3p20起</t>
  </si>
  <si>
    <t>B30</t>
  </si>
  <si>
    <t>立川304</t>
  </si>
  <si>
    <t>東京都立川市錦町2-2-34 安藤ビル 304号室</t>
  </si>
  <si>
    <t>B32</t>
  </si>
  <si>
    <t>府中301</t>
  </si>
  <si>
    <t>東京都府中市府中町2-5-7 ステーションビューロアール府中 301号室</t>
  </si>
  <si>
    <t>B33</t>
  </si>
  <si>
    <t>町田1403</t>
  </si>
  <si>
    <t>東京都町田市原町田6-16-7 アーバイルトルム町田 1403号室</t>
  </si>
  <si>
    <t>B34</t>
  </si>
  <si>
    <t>町田401</t>
  </si>
  <si>
    <t>東京都町田市原町田6丁目16-7 アーバイルトルム町田 401号室</t>
  </si>
  <si>
    <t>B38</t>
  </si>
  <si>
    <t>东村山503</t>
  </si>
  <si>
    <t>東京都東村山市栄町2-2-10 Tokio久米川タワー 503号室</t>
  </si>
  <si>
    <t>B41</t>
  </si>
  <si>
    <t>吉祥寺210</t>
  </si>
  <si>
    <t>東京都武蔵野市吉祥寺本町2-24-6 吉祥寺グリーンハイツ 210号室</t>
  </si>
  <si>
    <t>B43</t>
  </si>
  <si>
    <t>小金井201</t>
  </si>
  <si>
    <t>東京都小金井市東町1-40-11 ロイヤルハイツハシモト 201号室</t>
  </si>
  <si>
    <t>经常回信慢</t>
  </si>
  <si>
    <t>B44</t>
  </si>
  <si>
    <t>东久留米1002</t>
  </si>
  <si>
    <t>東京都東久留米市東本町6-18 第四荒野ビル 1002号室</t>
  </si>
  <si>
    <t>B46</t>
  </si>
  <si>
    <t>田無403</t>
  </si>
  <si>
    <t>東京都西東京市田無町2丁目12-11 ハイツベルスプリング 403号室</t>
  </si>
  <si>
    <t>C2</t>
  </si>
  <si>
    <t>柏205</t>
  </si>
  <si>
    <t>千葉県柏市千代田3-1-14 脇田マンション 205号室</t>
  </si>
  <si>
    <t>偶尔女孩走了没通知</t>
  </si>
  <si>
    <t>C3</t>
  </si>
  <si>
    <t>北柏206</t>
  </si>
  <si>
    <t>千葉県柏市根戸1914-12 エソール・柏 206号室</t>
  </si>
  <si>
    <t>C4</t>
  </si>
  <si>
    <t>新宿201</t>
  </si>
  <si>
    <t>千葉県千葉市中央区新宿2-14-16 パ―クプラザ千葉新宿  201号室</t>
  </si>
  <si>
    <t>C5</t>
  </si>
  <si>
    <t>稻毛202</t>
  </si>
  <si>
    <t>千葉県千葉市稲毛区稲毛東3-20-11 イーストビル 202号室</t>
  </si>
  <si>
    <t>C6</t>
  </si>
  <si>
    <t>蘇我309</t>
  </si>
  <si>
    <t>千葉県千葉市中央区今井2-12-13 蘇我第2マンション 309号室</t>
  </si>
  <si>
    <t>C7</t>
  </si>
  <si>
    <t>蘇我505</t>
  </si>
  <si>
    <t>2人1个生</t>
  </si>
  <si>
    <t>千葉県千葉市中央区南町2-18-16 カリンビル 505号室</t>
  </si>
  <si>
    <t>C8</t>
  </si>
  <si>
    <t>美满群-西船桥303</t>
  </si>
  <si>
    <t>千葉県船橋市西船4丁目8-15 サンウイング西船 303号室</t>
  </si>
  <si>
    <t>C9</t>
  </si>
  <si>
    <t>西船桥602</t>
  </si>
  <si>
    <t>千葉県船橋市印内町612 プルミエール西船 602号室</t>
  </si>
  <si>
    <t>C10</t>
  </si>
  <si>
    <t>西船桥905</t>
  </si>
  <si>
    <t>千葉県船橋市印内町570-1 鎌倉ビル 905号室</t>
  </si>
  <si>
    <t>回信慢 偶尔休息没通知</t>
  </si>
  <si>
    <t>C11</t>
  </si>
  <si>
    <t>船桥501</t>
  </si>
  <si>
    <t>千葉県船橋市本町6丁目18-19 第3山中ビル 501号室</t>
  </si>
  <si>
    <t>C12</t>
  </si>
  <si>
    <t>船桥204</t>
  </si>
  <si>
    <t>2人可生</t>
  </si>
  <si>
    <t>千葉県船橋市本町6-9-6 ラプラビ船橋 204号室</t>
  </si>
  <si>
    <t>按204呼出后按电梯门按钮</t>
  </si>
  <si>
    <t>C13</t>
  </si>
  <si>
    <t>船桥604</t>
  </si>
  <si>
    <t>千葉県船橋市本町6-3-10 グリーンシティーときた 604号室</t>
  </si>
  <si>
    <t>C14</t>
  </si>
  <si>
    <t>津田沼602</t>
  </si>
  <si>
    <t>千葉県船橋市前原西2-13-26 ソフィア・コート津田沼 602号室</t>
  </si>
  <si>
    <t>C15</t>
  </si>
  <si>
    <t>津田沼311</t>
  </si>
  <si>
    <t>千葉県習志野市谷津7丁目7-22 スーペリア津田沼 311号室</t>
  </si>
  <si>
    <t>报单发送名字截图</t>
  </si>
  <si>
    <t>C16</t>
  </si>
  <si>
    <t>勝田台410</t>
  </si>
  <si>
    <t>千葉県八千代市勝田台1丁目30 京成サンコーポ勝田台C棟 3番階段410号室</t>
  </si>
  <si>
    <t>C17</t>
  </si>
  <si>
    <t>勝田台3F</t>
  </si>
  <si>
    <t>千葉県八千代市勝田台北1-19-43 玄気道ビル第七 3階の店</t>
  </si>
  <si>
    <t>是看板店 能上了告诉3楼</t>
  </si>
  <si>
    <t>C18</t>
  </si>
  <si>
    <t>八千代台501</t>
  </si>
  <si>
    <t>千葉県八千代市八千代台南1丁目4-10 グレイス八千代台 501号室</t>
  </si>
  <si>
    <t>C19</t>
  </si>
  <si>
    <t>八千代307</t>
  </si>
  <si>
    <t>千葉県八千代市勝田台1丁目30 京成サンコーポ勝田台C棟 307号室</t>
  </si>
  <si>
    <t>C21</t>
  </si>
  <si>
    <t>本八幡504</t>
  </si>
  <si>
    <t>2人1个可生可套双</t>
  </si>
  <si>
    <t>千葉県市川市南八幡4-4-20 市川ルーフガーデンハイツ 504号室</t>
  </si>
  <si>
    <t>C22</t>
  </si>
  <si>
    <t>行德805</t>
  </si>
  <si>
    <t>千葉県市川市行徳駅前2-7-1 遠藤ビル 805号室</t>
  </si>
  <si>
    <t>C23</t>
  </si>
  <si>
    <t>行德603</t>
  </si>
  <si>
    <t>千葉県市川市行徳駅前1-22-17 ナカヤマビル 603号室</t>
  </si>
  <si>
    <t>经常不回信，偶尔失联</t>
  </si>
  <si>
    <t>C25</t>
  </si>
  <si>
    <t>松户514</t>
  </si>
  <si>
    <t>千葉県松戸市松戸1292-1 シティハイツ松戸 514号室</t>
  </si>
  <si>
    <t>C26</t>
  </si>
  <si>
    <t>八柱403</t>
  </si>
  <si>
    <t>千葉県松戸市金ケ作24-1 第五泉ビル 403号室</t>
  </si>
  <si>
    <t>C27</t>
  </si>
  <si>
    <t>八柱702</t>
  </si>
  <si>
    <t>千葉県松戸市日暮3-10-1 三井ビル 702号室</t>
  </si>
  <si>
    <t>C28</t>
  </si>
  <si>
    <t>松户410</t>
  </si>
  <si>
    <t>千葉県松戸市松戸1292-1 シティハイツ松戸 410号室</t>
  </si>
  <si>
    <t>C29</t>
  </si>
  <si>
    <t>木更津205</t>
  </si>
  <si>
    <t>千葉県木更津市朝日1-5-9 グラン・シャリオ 205号室</t>
  </si>
  <si>
    <t>C31</t>
  </si>
  <si>
    <t>松岸一户建</t>
  </si>
  <si>
    <t>千葉県銚子市長塚町3丁目643-18</t>
  </si>
  <si>
    <t>车停在附近的超市和拉面店</t>
  </si>
  <si>
    <t>D1</t>
  </si>
  <si>
    <t>南大塚102</t>
  </si>
  <si>
    <t>埼玉県川越市南台2-4-12  SAレジデンス 102号室</t>
  </si>
  <si>
    <t>D2</t>
  </si>
  <si>
    <t>川越213</t>
  </si>
  <si>
    <t>1人可生中</t>
  </si>
  <si>
    <t>埼玉県川越市稲荷町6-18 ブルーハイツK 213号室</t>
  </si>
  <si>
    <t>D3</t>
  </si>
  <si>
    <t>宫原303</t>
  </si>
  <si>
    <t>2人不生 不接2回</t>
  </si>
  <si>
    <t>埼玉県さいたま市北区宮原町3-250-7 サンクレール大宮 303号室</t>
  </si>
  <si>
    <t>经常有店客没通知 回信慢</t>
  </si>
  <si>
    <t>D5</t>
  </si>
  <si>
    <t>南浦和601</t>
  </si>
  <si>
    <t>3人1个生可双</t>
  </si>
  <si>
    <t>埼玉県さいたま市南区南浦和2-1-2 第二セントラルハイツ 601号室</t>
  </si>
  <si>
    <t>D6</t>
  </si>
  <si>
    <t>南浦和201</t>
  </si>
  <si>
    <t>埼玉県さいたま市南区南本町2-14-18 第16ユーセードムス 201号室</t>
  </si>
  <si>
    <t>D7</t>
  </si>
  <si>
    <t>浦和207</t>
  </si>
  <si>
    <t>2人可生不双</t>
  </si>
  <si>
    <t>埼玉県さいたま市浦和区岸町4丁目26-8 プリムローズ岸町 207号室</t>
  </si>
  <si>
    <t>12-1:30</t>
  </si>
  <si>
    <t>D8</t>
  </si>
  <si>
    <t>蕨402</t>
  </si>
  <si>
    <t>埼玉県川口市芝新町4-14 ラフィスタ芝新町 402号室</t>
  </si>
  <si>
    <t>D9</t>
  </si>
  <si>
    <t>谷塚217</t>
  </si>
  <si>
    <t>埼玉県草加市谷塚町1363-1 リレント谷塚II 217号室</t>
  </si>
  <si>
    <t>D10</t>
  </si>
  <si>
    <t>草加705</t>
  </si>
  <si>
    <t>埼玉県草加市氷川町2149-19 ライブコート草加 705号室</t>
  </si>
  <si>
    <t>D11</t>
  </si>
  <si>
    <t>小手指301</t>
  </si>
  <si>
    <t>埼玉県所沢市小手指町3-7-3 煉瓦館25 301号室</t>
  </si>
  <si>
    <t>D13</t>
  </si>
  <si>
    <t>饭能4B</t>
  </si>
  <si>
    <t>埼玉県飯能市柳町23-18 EXCEED飯能 4B号室</t>
  </si>
  <si>
    <t>D15</t>
  </si>
  <si>
    <t>上福岡202</t>
  </si>
  <si>
    <t>埼玉県ふじみ野市上福岡1丁目7-10 ウィング上福岡 202号室</t>
  </si>
  <si>
    <t>D16</t>
  </si>
  <si>
    <t>上福岡2F</t>
  </si>
  <si>
    <t>埼玉県ふじみ野市上福岡1丁目13-4  麻雀クラブ方の階段から2階にある店です</t>
  </si>
  <si>
    <t>D17</t>
  </si>
  <si>
    <t>上福岡302</t>
  </si>
  <si>
    <t>埼玉県ふじみ野市上福岡1丁目6-21 村田ビル 302号室</t>
  </si>
  <si>
    <t>D18</t>
  </si>
  <si>
    <t>熊谷603</t>
  </si>
  <si>
    <t>埼玉県熊谷市銀座1-153 ロハス星川 603号室</t>
  </si>
  <si>
    <t>D19</t>
  </si>
  <si>
    <t>美满群-大宫603</t>
  </si>
  <si>
    <t>埼玉県さいたま市大宮区桜木町2丁目457-1 志延舍 603号室</t>
  </si>
  <si>
    <t>D20</t>
  </si>
  <si>
    <t>美满群-小手指202</t>
  </si>
  <si>
    <t>埼玉県所沢市小手指町3丁目7-3 煉瓦館25 202号室</t>
  </si>
  <si>
    <t>D21</t>
  </si>
  <si>
    <t>美满群-新狭山303</t>
  </si>
  <si>
    <t>埼玉県狭山市新狭山2丁目23-11 オーク新狭山 303号室</t>
  </si>
  <si>
    <t>没有门禁，上楼按铃，没有电梯，附近有收费停车场</t>
  </si>
  <si>
    <t>D22</t>
  </si>
  <si>
    <t>新狭山304</t>
  </si>
  <si>
    <t>埼玉県狭山市新狭山3丁目9-16 レスポワール新狭山 304号室</t>
  </si>
  <si>
    <t>D25</t>
  </si>
  <si>
    <t>新越谷503</t>
  </si>
  <si>
    <t>埼玉県越谷市南越谷4丁目12-22 サクラビルディング 503号室</t>
  </si>
  <si>
    <t>D27</t>
  </si>
  <si>
    <t>朝霞203</t>
  </si>
  <si>
    <t>2人可生中可双</t>
  </si>
  <si>
    <t>埼玉県朝霞市北原2丁目12-32  メゾンヨネダ 203号室</t>
  </si>
  <si>
    <t>E1</t>
  </si>
  <si>
    <t>大阪601</t>
  </si>
  <si>
    <t>大阪府堺市北区長曽根町3083-17 ふぁみーゆ中百舌鳥 601号室</t>
  </si>
  <si>
    <t>E2</t>
  </si>
  <si>
    <t>泉大津402</t>
  </si>
  <si>
    <t>大阪府泉大津市東豊中町1-5-48 シンエイビル 402号室</t>
  </si>
  <si>
    <t>E3</t>
  </si>
  <si>
    <t>西成302</t>
  </si>
  <si>
    <t>大阪府大阪市西成区旭1-8-5 サンハイツタケナワ 302号室</t>
  </si>
  <si>
    <t>回信慢 有时候联系不上</t>
  </si>
  <si>
    <t>E4</t>
  </si>
  <si>
    <t>生野503</t>
  </si>
  <si>
    <t>大阪府大阪市生野区鶴橋1-5-21 カーサフェリーチェ 503号室</t>
  </si>
  <si>
    <t>E5</t>
  </si>
  <si>
    <t>堺筋本町405</t>
  </si>
  <si>
    <t>大阪府大阪市中央区備後町1-4-6  ラナップスクエ堺筋本町 405号室</t>
  </si>
  <si>
    <t>E7</t>
  </si>
  <si>
    <t>日本桥501</t>
  </si>
  <si>
    <t>大阪府大阪市中央区日本橋1丁目3-2 コージーアパートメント日本橋 501号室</t>
  </si>
  <si>
    <t>E8</t>
  </si>
  <si>
    <t>高津501</t>
  </si>
  <si>
    <t>大阪府大阪市中央区高津2丁目4-20 M.C.高津メゾンエルム 501号室</t>
  </si>
  <si>
    <t>E9</t>
  </si>
  <si>
    <t>高津207</t>
  </si>
  <si>
    <t>2人不生不双</t>
  </si>
  <si>
    <t>大阪府大阪市天王寺区生玉町11-29 朝日プラザ高津第1 207号室</t>
  </si>
  <si>
    <t>E10</t>
  </si>
  <si>
    <t>大阪1404</t>
  </si>
  <si>
    <t>大阪府大阪市淀川区西中島1丁目14-4 プレサンス新大阪ストリーム 1404号室</t>
  </si>
  <si>
    <t>E12</t>
  </si>
  <si>
    <t>淀川710</t>
  </si>
  <si>
    <t>大阪府大阪市淀川区西中島5丁目8-21 マイルド新大阪レジデンス 710号室</t>
  </si>
  <si>
    <t>12-23</t>
  </si>
  <si>
    <t>到门口不要按铃 不要敲门</t>
  </si>
  <si>
    <t>E13</t>
  </si>
  <si>
    <t>西中岛901</t>
  </si>
  <si>
    <t>大阪府大阪市淀川区西中島3-12-4 ATOLL西中島 901号室</t>
  </si>
  <si>
    <t>E14</t>
  </si>
  <si>
    <t>东淀川1003</t>
  </si>
  <si>
    <t>大阪市東淀川区西淡路1-1-28 ライオンズマンション 1003号室</t>
  </si>
  <si>
    <t>E15</t>
  </si>
  <si>
    <t>平野901</t>
  </si>
  <si>
    <t>大阪府大阪市平野区流町1丁目5-25 レクシア平野DUO 901号室</t>
  </si>
  <si>
    <t>E16</t>
  </si>
  <si>
    <t>大阪203</t>
  </si>
  <si>
    <t>大阪府大阪市平野区背戸口5-6-12 カサ・エルドラード 203号室</t>
  </si>
  <si>
    <t>门禁密码1181E</t>
  </si>
  <si>
    <t>E18</t>
  </si>
  <si>
    <t>天神桥703</t>
  </si>
  <si>
    <t>大阪府大阪市北区浪花町9-12 ロイヤルハイツ扇町 703号室</t>
  </si>
  <si>
    <t>E21</t>
  </si>
  <si>
    <t>長田中507</t>
  </si>
  <si>
    <t>大阪府東大阪市長田中1-4-12 イマザキマンション 507号室</t>
  </si>
  <si>
    <t>E22</t>
  </si>
  <si>
    <t>布施201</t>
  </si>
  <si>
    <t>大阪府東大阪市足代新町9-17 Siete布施駅前 201号室</t>
  </si>
  <si>
    <t>11-22</t>
  </si>
  <si>
    <t>E23</t>
  </si>
  <si>
    <t>京桥304</t>
  </si>
  <si>
    <t>大阪府大阪市都島区東野田町4-14-10 レクシア京橋 304号室</t>
  </si>
  <si>
    <t>E24</t>
  </si>
  <si>
    <t>京桥201</t>
  </si>
  <si>
    <t>大阪府大阪市都島区東野田町3-7-17 ハイツ京橋 201号室</t>
  </si>
  <si>
    <t>E25</t>
  </si>
  <si>
    <t>守口303</t>
  </si>
  <si>
    <t>大阪府守口市寺内町1-5-5 クレイン守口  303号室</t>
  </si>
  <si>
    <t>E26</t>
  </si>
  <si>
    <t>守口806</t>
  </si>
  <si>
    <t>大阪府守口市春日町1-19 アドヴァンテージ守口 806号室</t>
  </si>
  <si>
    <t>E29</t>
  </si>
  <si>
    <t>江坂1101</t>
  </si>
  <si>
    <t>大阪府吹田市江の木町17-16 アーデン江坂 1101号室</t>
  </si>
  <si>
    <t>有店客没通知</t>
  </si>
  <si>
    <t>E30</t>
  </si>
  <si>
    <t>松原306</t>
  </si>
  <si>
    <t>大阪府松原市上田1-4-8 ふぁみーゆ上田III 306号室</t>
  </si>
  <si>
    <t>F1</t>
  </si>
  <si>
    <t>植田605</t>
  </si>
  <si>
    <t>愛知県名古屋市天白区植田3-1701 よし司マンションワイズビル 605号室</t>
  </si>
  <si>
    <t>F2</t>
  </si>
  <si>
    <t>一社503</t>
  </si>
  <si>
    <t>愛知県名古屋市名東区一社1-125 アサノビル 503号室</t>
  </si>
  <si>
    <t>回复慢 偶尔会失联</t>
  </si>
  <si>
    <t>F3</t>
  </si>
  <si>
    <t>名東201</t>
  </si>
  <si>
    <t>愛知県名古屋市名東区八前1-202 京和コーポ 201号室</t>
  </si>
  <si>
    <t>停车场5号</t>
  </si>
  <si>
    <t>F6</t>
  </si>
  <si>
    <t>柴田1004</t>
  </si>
  <si>
    <t>愛知県名古屋市南区柴田町3-22 ラディアント柴田 1004号室</t>
  </si>
  <si>
    <t>F7</t>
  </si>
  <si>
    <t>金山306</t>
  </si>
  <si>
    <t>愛知県名古屋市中区正木4丁目8-8 メゾン金山 306号室</t>
  </si>
  <si>
    <t>名古屋311</t>
  </si>
  <si>
    <t>愛知県名古屋市中村区則武2丁目26-15 マンション則武 311号室</t>
  </si>
  <si>
    <t>F12</t>
  </si>
  <si>
    <t>高畑502</t>
  </si>
  <si>
    <t>愛知県名古屋市中川区高畑3-40 ブラザービル 502号室</t>
  </si>
  <si>
    <t>F13</t>
  </si>
  <si>
    <t>北区603</t>
  </si>
  <si>
    <t>愛知県名古屋市北区若葉通1丁目21 メゾンコロル 603号室</t>
  </si>
  <si>
    <t>F14</t>
  </si>
  <si>
    <t>小田井902</t>
  </si>
  <si>
    <t>愛知県名古屋市西区上小田井1-47 ブルーウェーブマンショ 902号室</t>
  </si>
  <si>
    <t>F15</t>
  </si>
  <si>
    <t>绿区1003</t>
  </si>
  <si>
    <t>愛知県名古屋市緑区鳴海町京田23 エステート鳴海 1003号室</t>
  </si>
  <si>
    <t>车位17号</t>
  </si>
  <si>
    <t>F16</t>
  </si>
  <si>
    <t>港区1107</t>
  </si>
  <si>
    <t>愛知県名古屋市港区名港1丁目1-19 三旺ポートタウン港 1107号室</t>
  </si>
  <si>
    <t>附近便利店可以停车</t>
  </si>
  <si>
    <t>F18</t>
  </si>
  <si>
    <t>春日井203</t>
  </si>
  <si>
    <t>愛知県春日井市味美白山町1-1-12 南館エスト味美マンション 203号室</t>
  </si>
  <si>
    <t>F19</t>
  </si>
  <si>
    <t>春日井305</t>
  </si>
  <si>
    <t>愛知県春日井市高蔵寺町北2-54 レイクサイドマンションカサイ 305号室</t>
  </si>
  <si>
    <t>附近收费停车场</t>
  </si>
  <si>
    <t>F21</t>
  </si>
  <si>
    <t>春日井201</t>
  </si>
  <si>
    <t>愛知県春日井市八幡町35-1 ニューブラウンハイツ 201号室</t>
  </si>
  <si>
    <t>F23</t>
  </si>
  <si>
    <t>小牧202</t>
  </si>
  <si>
    <t>愛知県小牧市中央1丁目456 ウォンキー91 202号室</t>
  </si>
  <si>
    <t>F24</t>
  </si>
  <si>
    <t>小牧301</t>
  </si>
  <si>
    <t>愛知県小牧市小牧1-254 第2メゾンたけ宗 301号室</t>
  </si>
  <si>
    <t>F26</t>
  </si>
  <si>
    <t>一宫408</t>
  </si>
  <si>
    <t>愛知県一宮市佐千原南切野6-1 レジデンス野村 408号室</t>
  </si>
  <si>
    <t>旁边药店可以停车</t>
  </si>
  <si>
    <t>F27</t>
  </si>
  <si>
    <t>一宫303</t>
  </si>
  <si>
    <t>2人1个生可套双</t>
  </si>
  <si>
    <t>愛知県一宮市白旗通4-9 グランドール白旗 303号室</t>
  </si>
  <si>
    <t>F30</t>
  </si>
  <si>
    <t>刈谷303</t>
  </si>
  <si>
    <t>愛知県刈谷市一ツ木町4丁目5-14 ジュネスS・T 303号室</t>
  </si>
  <si>
    <t>F33</t>
  </si>
  <si>
    <t>南小向301</t>
  </si>
  <si>
    <t>愛知県豊橋市新栄町南小向101-1 メゾンソレイユ 301号室</t>
  </si>
  <si>
    <t>F34</t>
  </si>
  <si>
    <t>豊橋203</t>
  </si>
  <si>
    <t>愛知県豊橋市菰口町3-95 第5フクマルビル 203号室</t>
  </si>
  <si>
    <t>F35</t>
  </si>
  <si>
    <t>豊川203</t>
  </si>
  <si>
    <t>愛知県豊川市平尾町神田64-1 ル・ボア大黒平尾A  203号室</t>
  </si>
  <si>
    <t>没有女孩照片 休息不通知</t>
  </si>
  <si>
    <t>駐車場は5番</t>
  </si>
  <si>
    <t>F38</t>
  </si>
  <si>
    <t>豊明4A</t>
  </si>
  <si>
    <t>愛知県豊明市三崎町高鴨7-1 セブンワン 4A号室</t>
  </si>
  <si>
    <t>便利店可以停车</t>
  </si>
  <si>
    <t>F39</t>
  </si>
  <si>
    <t>西尾203</t>
  </si>
  <si>
    <t>愛知県西尾市丁田町杢左62 ファミール丁田 203号室</t>
  </si>
  <si>
    <t>附近有超市和收费停车场</t>
  </si>
  <si>
    <t>F40</t>
  </si>
  <si>
    <t>安城201</t>
  </si>
  <si>
    <t>愛知県安城市三河安城町2-9-1 桜路マンション 201号室</t>
  </si>
  <si>
    <t>F43</t>
  </si>
  <si>
    <t>半田一户建</t>
  </si>
  <si>
    <t>愛知県半田市乙川太田町2-87-2</t>
  </si>
  <si>
    <t>F44</t>
  </si>
  <si>
    <t>半田1-D</t>
  </si>
  <si>
    <t>愛知県半田市花園町6-27-6 メゾンドK 1-D号室</t>
  </si>
  <si>
    <t>公寓背后30号、31号停车位</t>
  </si>
  <si>
    <t>F46</t>
  </si>
  <si>
    <t>半田304</t>
  </si>
  <si>
    <t>愛知県半田市東郷町4-101-2 ウェルネスタウン 304号室</t>
  </si>
  <si>
    <t>停车位 5号、20号</t>
  </si>
  <si>
    <t>F47</t>
  </si>
  <si>
    <t>知立203</t>
  </si>
  <si>
    <t>愛知県知立市新富2-47 パーシオンときわ 203号室</t>
  </si>
  <si>
    <t>F49</t>
  </si>
  <si>
    <t>大府2F</t>
  </si>
  <si>
    <t>愛知県大府市月見町1-28 ボンジュール大府 2階の部屋</t>
  </si>
  <si>
    <t>F51</t>
  </si>
  <si>
    <t>あま103</t>
  </si>
  <si>
    <t>愛知県あま市本郷三反地24 グランエスポワール 103号室</t>
  </si>
  <si>
    <t>F52</t>
  </si>
  <si>
    <t>あま406</t>
  </si>
  <si>
    <t>愛知県あま市小橋方南山西154-2 小橋方コーポラスB棟 406号室</t>
  </si>
  <si>
    <t>駐車場はB46番</t>
  </si>
  <si>
    <t>F53</t>
  </si>
  <si>
    <t>尾张旭303</t>
  </si>
  <si>
    <t>愛知県尾張旭市瀬戸川町2-80 ロータスフラワー 303号室</t>
  </si>
  <si>
    <t>駐車場は16番</t>
  </si>
  <si>
    <t>F54</t>
  </si>
  <si>
    <t>蟹江102</t>
  </si>
  <si>
    <t>愛知県海部郡蟹江町富吉4丁目139 近鉄富吉コーポB棟 102号室</t>
  </si>
  <si>
    <t>F55</t>
  </si>
  <si>
    <t>长久手102</t>
  </si>
  <si>
    <t>愛知県長久手市東狭間912 ガーデンハイツエクレール 102号室</t>
  </si>
  <si>
    <t>駐車場は10番</t>
  </si>
  <si>
    <t>F56</t>
  </si>
  <si>
    <t>濑户101</t>
  </si>
  <si>
    <t>愛知県瀬戸市瀬戸口町111 ブリード瀬戸口 101号室</t>
  </si>
  <si>
    <t>駐車場は22番</t>
  </si>
  <si>
    <t>G1</t>
  </si>
  <si>
    <t>羽岛102</t>
  </si>
  <si>
    <t>岐阜県羽島市福寿町平方3-79 イノセンス 102号室</t>
  </si>
  <si>
    <t>G2</t>
  </si>
  <si>
    <t>羽岛C102</t>
  </si>
  <si>
    <t>岐阜県羽島市舟橋町本町2丁目21-2 フレグランスこうえC棟102号室</t>
  </si>
  <si>
    <t>G4</t>
  </si>
  <si>
    <t>大垣205</t>
  </si>
  <si>
    <t>岐阜県大垣市林町8-1394-6 アクア大垣 205号室</t>
  </si>
  <si>
    <t>G7</t>
  </si>
  <si>
    <t>岐阜403</t>
  </si>
  <si>
    <t>岐阜県岐阜市下奈良1丁目4-1 カルム21 403号室</t>
  </si>
  <si>
    <t>停车位3号</t>
  </si>
  <si>
    <t>G9</t>
  </si>
  <si>
    <t>瑞穂1001</t>
  </si>
  <si>
    <t>岐阜県瑞穂市野田新田4128-2 品川第2ビル 1001号室</t>
  </si>
  <si>
    <t>G11</t>
  </si>
  <si>
    <t>可儿301</t>
  </si>
  <si>
    <t>岐阜県可児市広見6丁目40 朝日プラザ可児 301号室</t>
  </si>
  <si>
    <t>附近超市可以停车</t>
  </si>
  <si>
    <t>G14</t>
  </si>
  <si>
    <t>浜松704</t>
  </si>
  <si>
    <t>静岡県浜松市中央区海老塚1-10-20 朝日プラザ浜松ステーションスクエア 704号室</t>
  </si>
  <si>
    <t>G16</t>
  </si>
  <si>
    <t>袋井202</t>
  </si>
  <si>
    <t>静岡県袋井市高尾746-1 AAI高尾 202号室</t>
  </si>
  <si>
    <t>G18</t>
  </si>
  <si>
    <t>八幡309</t>
  </si>
  <si>
    <t>静岡県浜松市中央区布橋1丁目17-40 城北パーソナルハイツW 309号室</t>
  </si>
  <si>
    <t>附近书店可以停车</t>
  </si>
  <si>
    <t>G19</t>
  </si>
  <si>
    <t>磐田201</t>
  </si>
  <si>
    <t>静岡県磐田市森下700-11 シミズハイツ 201号室</t>
  </si>
  <si>
    <t>G22</t>
  </si>
  <si>
    <t>掛川202</t>
  </si>
  <si>
    <t>静岡県掛川市杉谷2-6-12 BellWood 202号室</t>
  </si>
  <si>
    <t>停202号或附近便利店</t>
  </si>
  <si>
    <t>G23</t>
  </si>
  <si>
    <t>烧津202</t>
  </si>
  <si>
    <t>静岡県焼津市東小川5-13-1 (公寓没名字，找中转要图片) 202号室</t>
  </si>
  <si>
    <t>G25</t>
  </si>
  <si>
    <t>沼津2A</t>
  </si>
  <si>
    <t>静岡県沼津市高沢町9-8 パティオ高沢 2A号室</t>
  </si>
  <si>
    <t>没有门禁 让客人敲门</t>
  </si>
  <si>
    <t>G26</t>
  </si>
  <si>
    <t>美满群-富士102</t>
  </si>
  <si>
    <t>静岡県富士市柚木199-1 シャンテFuji 102号室</t>
  </si>
  <si>
    <t>没有门禁，「すき家 富士柚木店」ここでとめられます</t>
  </si>
  <si>
    <t>G27</t>
  </si>
  <si>
    <t>藤枝101</t>
  </si>
  <si>
    <t>静岡県藤枝市藤枝5-7-36 プラム千歳 101号室</t>
  </si>
  <si>
    <t>没有停车场 自己找</t>
  </si>
  <si>
    <t>H1</t>
  </si>
  <si>
    <t>博多305</t>
  </si>
  <si>
    <t>福岡県福岡市博多区博多駅南1-14-6 クレベール博多 305号室</t>
  </si>
  <si>
    <t>没有女孩照片 2回20起</t>
  </si>
  <si>
    <t>H2</t>
  </si>
  <si>
    <t>天神909</t>
  </si>
  <si>
    <t>福岡県福岡市中央区天神2丁目3-10 天神パインクレスト 909号室</t>
  </si>
  <si>
    <t>22:00后女孩下楼接</t>
  </si>
  <si>
    <t>H3</t>
  </si>
  <si>
    <t>祇園311</t>
  </si>
  <si>
    <t>福岡県福岡市博多区冷泉町1-3 エクセレンス祇園 311号室</t>
  </si>
  <si>
    <t>H9</t>
  </si>
  <si>
    <t>久留米404</t>
  </si>
  <si>
    <t>福岡県久留米市東町1-13 J-PLACE 404号室</t>
  </si>
  <si>
    <t>H11</t>
  </si>
  <si>
    <t>郡山416</t>
  </si>
  <si>
    <t>福島県郡山市安積荒井本町441 サンシヤインビル  416号室</t>
  </si>
  <si>
    <t>做得慢 没有女孩照片</t>
  </si>
  <si>
    <t>H12</t>
  </si>
  <si>
    <t>上宿201</t>
  </si>
  <si>
    <t>福島県いわき市内郷御厩町上宿79 ミマヤビル 201号室</t>
  </si>
  <si>
    <t>没有门禁 楼旁边车位停车</t>
  </si>
  <si>
    <t>H14</t>
  </si>
  <si>
    <t>福岛502</t>
  </si>
  <si>
    <t>福島県福島市陣場町7-20 陣場アーバンハウス 502号室</t>
  </si>
  <si>
    <t>没有女孩照片 自己找停车位</t>
  </si>
  <si>
    <t>H17</t>
  </si>
  <si>
    <t>西宫103</t>
  </si>
  <si>
    <t>兵庫県西宮市深津町3-3 ダイドーメゾン西宮北口10  103号室</t>
  </si>
  <si>
    <t>H20</t>
  </si>
  <si>
    <t>姬路704</t>
  </si>
  <si>
    <t>兵庫県姫路市広畑区東新町1-38-1 デアリックス広畑 704号室</t>
  </si>
  <si>
    <t>H21</t>
  </si>
  <si>
    <t>姬路502</t>
  </si>
  <si>
    <t>兵庫県姫路市朝日町6-3 フェリーチェ姫路駅前 5-B号室</t>
  </si>
  <si>
    <t>H22</t>
  </si>
  <si>
    <t>姬路716</t>
  </si>
  <si>
    <t>兵庫県姫路市朝日町湯ノ坪444 Luxe姫路 716号室</t>
  </si>
  <si>
    <t>H23</t>
  </si>
  <si>
    <t>明石901</t>
  </si>
  <si>
    <t>兵庫県明石市本町2-8-22 POCOAPOCO AKASHIHONMACHI MAISON 901号室</t>
  </si>
  <si>
    <t>H24</t>
  </si>
  <si>
    <t>住吉102</t>
  </si>
  <si>
    <t>兵庫県神戸市東灘区御影中町1丁目4-11 メゾン御影 102号室</t>
  </si>
  <si>
    <t>11-1:30</t>
  </si>
  <si>
    <t>H25</t>
  </si>
  <si>
    <t>神户201</t>
  </si>
  <si>
    <t>兵庫県神戸市灘区浜田町4丁目2-13 メゾン・ド・六甲パート3 201号室</t>
  </si>
  <si>
    <t>H26</t>
  </si>
  <si>
    <t>元町602</t>
  </si>
  <si>
    <t>兵庫県神戸市中央区元町通3-12-20 シティスパイア 神戸元町 602号室</t>
  </si>
  <si>
    <t>H27</t>
  </si>
  <si>
    <t>元町718</t>
  </si>
  <si>
    <t>兵庫県神戸市中央区下山手通5-8-14 山手ダイヤハイツB棟 718号室</t>
  </si>
  <si>
    <t>H29</t>
  </si>
  <si>
    <t>津长田502</t>
  </si>
  <si>
    <t>兵庫県神戸市長田区大橋町4-4-18 ダイアパレス西神戸 502号室</t>
  </si>
  <si>
    <t>H30</t>
  </si>
  <si>
    <t>三宫502</t>
  </si>
  <si>
    <t>兵庫県神戸市中央区雲井通3丁目1-6 エスリード三宮第3 502号室</t>
  </si>
  <si>
    <t>K1</t>
  </si>
  <si>
    <t>长野503</t>
  </si>
  <si>
    <t>長野県長野市大字長野東町132 アシスト長野マンション 503号室</t>
  </si>
  <si>
    <t>K2</t>
  </si>
  <si>
    <t>长野403</t>
  </si>
  <si>
    <t>長野県長野市大字栗田936 サミット栗田中央 403号室</t>
  </si>
  <si>
    <t>K5</t>
  </si>
  <si>
    <t>松本405</t>
  </si>
  <si>
    <t>長野県松本市中央1丁目2-7 大東プラザニュー伊勢町 405号室</t>
  </si>
  <si>
    <t>K6</t>
  </si>
  <si>
    <t>上田503</t>
  </si>
  <si>
    <t>長野県上田市上塩尻226-1 ザ・グレイス・シグマ 503号室</t>
  </si>
  <si>
    <t>K7</t>
  </si>
  <si>
    <t>长野207</t>
  </si>
  <si>
    <t>長野県塩尻市旧塩尻1057 リフレホテル 207号室</t>
  </si>
  <si>
    <t>K8</t>
  </si>
  <si>
    <t>小山305</t>
  </si>
  <si>
    <t>栃木県小山市駅東通り2-40-27 いせやハイツ 305号室</t>
  </si>
  <si>
    <t>K12</t>
  </si>
  <si>
    <t>足利3F</t>
  </si>
  <si>
    <t>栃木県足利市田中町782 Mita.Bldg 3階です</t>
  </si>
  <si>
    <t>K14</t>
  </si>
  <si>
    <t>仙台302</t>
  </si>
  <si>
    <t>宮城県仙台市青葉区花京院1丁目5-21 昇龍ビル 302号室</t>
  </si>
  <si>
    <t>K17</t>
  </si>
  <si>
    <t>石卷210</t>
  </si>
  <si>
    <t>宮城県石巻市中央3丁目5-22 メゾン・ド・コパン 210号室</t>
  </si>
  <si>
    <t>K21</t>
  </si>
  <si>
    <t>津市505</t>
  </si>
  <si>
    <t>三重県津市島崎町137-117 島崎ハイツ505号室</t>
  </si>
  <si>
    <t>车可以停在路边</t>
  </si>
  <si>
    <t>K22</t>
  </si>
  <si>
    <t>津市101</t>
  </si>
  <si>
    <t>三重県津市大門26-3 のぶマンション 101号室</t>
  </si>
  <si>
    <t>楼对面有收费停车场</t>
  </si>
  <si>
    <t>K23</t>
  </si>
  <si>
    <t>津市304</t>
  </si>
  <si>
    <t>三重県津市藤方1643-1 サニーガーデン津 304号室</t>
  </si>
  <si>
    <t>楼下路边可以停车</t>
  </si>
  <si>
    <t>K24</t>
  </si>
  <si>
    <t>白子806</t>
  </si>
  <si>
    <t>三重県鈴鹿市白子駅前11-18 ロイヤルハイツ白子駅 806号室</t>
  </si>
  <si>
    <t>K29</t>
  </si>
  <si>
    <t>水户406</t>
  </si>
  <si>
    <t>茨城県水戸市栅町1-5-7 クレセール三の丸 406号室</t>
  </si>
  <si>
    <t>不要给客人发别人照片骗来 停车位10号 偶尔回信慢</t>
  </si>
  <si>
    <t>K30</t>
  </si>
  <si>
    <t>赤塚3B</t>
  </si>
  <si>
    <t>茨城県水戸市赤塚1丁目1970-5 KTMビル 3B号室</t>
  </si>
  <si>
    <t>K31</t>
  </si>
  <si>
    <t>日立301</t>
  </si>
  <si>
    <t>茨城県日立市水木町2-5-26 水木ビル2 301号室</t>
  </si>
  <si>
    <t>不要给客人发别人照片骗来 停车位15号 偶尔回信慢</t>
  </si>
  <si>
    <t>K32</t>
  </si>
  <si>
    <t>神栖201</t>
  </si>
  <si>
    <t>茨城県神栖市木崎2406-186 コーポラス幸武106 201号室</t>
  </si>
  <si>
    <t>不要给客人发别人照片骗来 停车位201号 偶尔回信慢</t>
  </si>
  <si>
    <t>K34</t>
  </si>
  <si>
    <t>茨城111</t>
  </si>
  <si>
    <t>茨城県つくば市春日2丁目45-8 ルミナス春日弐番館 111号室</t>
  </si>
  <si>
    <t>K35</t>
  </si>
  <si>
    <t>牛久203</t>
  </si>
  <si>
    <t>茨城県牛久市牛久町970-1 チェリーガーデン牛久 203号室</t>
  </si>
  <si>
    <t>K36</t>
  </si>
  <si>
    <t>伊势崎204</t>
  </si>
  <si>
    <t>2人不生可套双</t>
  </si>
  <si>
    <t>群馬県伊勢崎市喜多町125-6 コーポラスアゼリア 204号室</t>
  </si>
  <si>
    <t>楼下不能停车 附近有收费的</t>
  </si>
  <si>
    <t>K38</t>
  </si>
  <si>
    <t>高崎213</t>
  </si>
  <si>
    <t>群馬県高崎市元紺屋町17-1 ダイアパレス高崎中央 213号室</t>
  </si>
  <si>
    <t>L1</t>
  </si>
  <si>
    <t>岡山404</t>
  </si>
  <si>
    <t>岡山県岡山市北区春日町5-20 アルファ春日町 404号室</t>
  </si>
  <si>
    <t>门禁密码4506E</t>
  </si>
  <si>
    <t>L3</t>
  </si>
  <si>
    <t>冈山206</t>
  </si>
  <si>
    <t>岡山県岡山市北区岡町17-18 K'sB岡山医大 206号室</t>
  </si>
  <si>
    <t>L4</t>
  </si>
  <si>
    <t>仓敷303</t>
  </si>
  <si>
    <t>1人可生外</t>
  </si>
  <si>
    <t>岡山県倉敷市玉島爪崎1082-2 エトワール21新倉敷 303号室</t>
  </si>
  <si>
    <t>L5</t>
  </si>
  <si>
    <t>观音町604</t>
  </si>
  <si>
    <t>広島県広島市西区西観音町5-22 ワンダフルパレスN1 604号室</t>
  </si>
  <si>
    <t>L6</t>
  </si>
  <si>
    <t>广岛601</t>
  </si>
  <si>
    <t>広島県広島市中区上幟町2-36 S・ウィングビル 601号室</t>
  </si>
  <si>
    <t>L7</t>
  </si>
  <si>
    <t>广岛206</t>
  </si>
  <si>
    <t>広島県広島市安佐南区西原2丁目34-16 ホーネット21 206号室</t>
  </si>
  <si>
    <t>L8</t>
  </si>
  <si>
    <t>美满群-广岛401</t>
  </si>
  <si>
    <t>広島県広島市東区愛宕町7-3 ヴィブレ愛宕 401号室</t>
  </si>
  <si>
    <t>L9</t>
  </si>
  <si>
    <t>福山302</t>
  </si>
  <si>
    <t>広島県福山市紅葉町4-11 AXIS21 302号室</t>
  </si>
  <si>
    <t>门禁密码0011E</t>
  </si>
  <si>
    <t>L11</t>
  </si>
  <si>
    <t>札幌903</t>
  </si>
  <si>
    <t>北海道札幌市北区北8条西4-20-1 バロンドール 903号室</t>
  </si>
  <si>
    <t>L13</t>
  </si>
  <si>
    <t>札幌208</t>
  </si>
  <si>
    <t>北海道札幌市東区北11条東1丁目2-23 ラクシス札幌 208号室</t>
  </si>
  <si>
    <t>L14</t>
  </si>
  <si>
    <t>和歌山405</t>
  </si>
  <si>
    <t>和歌山県和歌山市三木町堀詰1 朝日プラザ三木町 405号室</t>
  </si>
  <si>
    <t>L15</t>
  </si>
  <si>
    <t>美满群-和歌山101</t>
  </si>
  <si>
    <t>和歌山県和歌山市三筋目79 ルトラン和歌山 101号室</t>
  </si>
  <si>
    <t>L16</t>
  </si>
  <si>
    <t>中松江403</t>
  </si>
  <si>
    <r>
      <rPr>
        <rFont val="等线"/>
        <color rgb="FF000000"/>
        <sz val="18.0"/>
      </rPr>
      <t xml:space="preserve">和歌山県和歌山市松江中2丁目5-26 リオンドロフティ中松江 403号室 </t>
    </r>
    <r>
      <rPr>
        <rFont val="等线"/>
        <b/>
        <color rgb="FFFFFFFF"/>
        <sz val="18.0"/>
      </rPr>
      <t>下午16:00开始通知</t>
    </r>
  </si>
  <si>
    <t>L19</t>
  </si>
  <si>
    <t>岩手403</t>
  </si>
  <si>
    <t>岩手県盛岡市盛岡駅西通2-5-30 メイプル駅西通 403号室</t>
  </si>
  <si>
    <t>M1</t>
  </si>
  <si>
    <t>那霸松尾402</t>
  </si>
  <si>
    <t>沖縄県那覇市松尾1-17-8 コーポヤカゆちばな 402号室</t>
  </si>
  <si>
    <t>M2</t>
  </si>
  <si>
    <t>那霸安里302</t>
  </si>
  <si>
    <t>沖縄県那覇市安里44-2 Le Soleil Asato 302号室</t>
  </si>
  <si>
    <t>M3</t>
  </si>
  <si>
    <t>冲绳202</t>
  </si>
  <si>
    <t>沖縄県那覇市前島3丁目9-20 ポルトウール 202号室</t>
  </si>
  <si>
    <t>M10</t>
  </si>
  <si>
    <t>高冈104</t>
  </si>
  <si>
    <t>富山県高岡市駅南4-5-31 駅南第2レジデンス 104号室（外墙蓝色的公寓）</t>
  </si>
  <si>
    <t>M11</t>
  </si>
  <si>
    <t>富山103</t>
  </si>
  <si>
    <t>富山県富山市千石町5丁目3-5 パールハイツ 103号室</t>
  </si>
  <si>
    <t>駐車場は12番</t>
  </si>
  <si>
    <t>M13</t>
  </si>
  <si>
    <t>富山3F</t>
  </si>
  <si>
    <t>富山県富山市桜木町6-4 千歳ビル 3階です</t>
  </si>
  <si>
    <t>不接中国人</t>
  </si>
  <si>
    <t>M14</t>
  </si>
  <si>
    <t>富山303</t>
  </si>
  <si>
    <t>富山県富山市磯部町4丁目1-13 トーカンマンション磯部町 303号室</t>
  </si>
  <si>
    <t>M16</t>
  </si>
  <si>
    <t>滑川211</t>
  </si>
  <si>
    <t>富山県滑川市常盤町616 スタンザトキワ 211号室</t>
  </si>
  <si>
    <t>M17</t>
  </si>
  <si>
    <t>金泽710</t>
  </si>
  <si>
    <t>石川県金沢市此花町3-3 ライブ1 710号室</t>
  </si>
  <si>
    <t>M18</t>
  </si>
  <si>
    <t>金沢406</t>
  </si>
  <si>
    <t>石川県金沢市北安江1丁目7-12 リューキ・7 406号室</t>
  </si>
  <si>
    <t>M19</t>
  </si>
  <si>
    <t>金沢305</t>
  </si>
  <si>
    <t>石川県金沢市尾張町1丁目2-12 メゾン・ド・グロリエ 305号室</t>
  </si>
  <si>
    <t>N1</t>
  </si>
  <si>
    <t>熊本405</t>
  </si>
  <si>
    <t>熊本県熊本市中央区鍛冶屋町6 朝日プラザ鍛冶屋町 405号室</t>
  </si>
  <si>
    <t>N4</t>
  </si>
  <si>
    <t>熊本504</t>
  </si>
  <si>
    <t>熊本県熊本市中央区細工町1丁目45 アーバンビルドパート1 504号室</t>
  </si>
  <si>
    <t>N6</t>
  </si>
  <si>
    <t>長浜201</t>
  </si>
  <si>
    <t>滋賀県長浜市神照町696 松ぼっくり 201号室</t>
  </si>
  <si>
    <t>附近711可以停车</t>
  </si>
  <si>
    <t>N7</t>
  </si>
  <si>
    <t>大津803</t>
  </si>
  <si>
    <t>滋賀県大津市浜大津1-2-15 CITYSPIRE浜大津駅前 803号室</t>
  </si>
  <si>
    <t>N8</t>
  </si>
  <si>
    <t>大津302</t>
  </si>
  <si>
    <t>滋賀県大津市中央1丁目2-35 アセンティアびわこ 302号室</t>
  </si>
  <si>
    <t>N9</t>
  </si>
  <si>
    <t>美满群-大津705</t>
  </si>
  <si>
    <t>滋賀県大津市中央1丁目2-35 アセンティアびわこ 705号室</t>
  </si>
  <si>
    <t>没有门禁 2回20000起</t>
  </si>
  <si>
    <t>N10</t>
  </si>
  <si>
    <t>草津202</t>
  </si>
  <si>
    <t>滋賀県草津市西渋川1丁目8-6 アリエッタ草津 202号室</t>
  </si>
  <si>
    <t>N12</t>
  </si>
  <si>
    <t>长崎203</t>
  </si>
  <si>
    <t>長崎県長崎市西坂町8-2 シャトレ西坂公園通 203号室</t>
  </si>
  <si>
    <t>N15</t>
  </si>
  <si>
    <t>秋田508</t>
  </si>
  <si>
    <t>秋田県秋田市南通築地9-34 メゾン・ド・レーヴ 508号室 （报单需要拍照客人说到了）</t>
  </si>
  <si>
    <t>N16</t>
  </si>
  <si>
    <t>佐贺22-5</t>
  </si>
  <si>
    <t>佐賀県佐賀市愛敬町1-1 中野マンション 2階の22-5号室</t>
  </si>
  <si>
    <t>N20</t>
  </si>
  <si>
    <t>德岛403</t>
  </si>
  <si>
    <t>徳島県徳島市銀座10 福助ビル第63 403号室</t>
  </si>
  <si>
    <t>N22</t>
  </si>
  <si>
    <t>青森202</t>
  </si>
  <si>
    <t>青森県青森市安方1丁目9-16 エクセルビュー 202号室</t>
  </si>
  <si>
    <t>N23</t>
  </si>
  <si>
    <t>京都503</t>
  </si>
  <si>
    <t>京都府京都市南区吉祥院西ノ庄西中町1 明輝マンションA棟 503号室</t>
  </si>
  <si>
    <t>N26</t>
  </si>
  <si>
    <t>宫崎305</t>
  </si>
  <si>
    <t>宮崎県宮崎市丸島町3-15 シーラカンスKANDY 305号室</t>
  </si>
  <si>
    <t>做客人的时候回信慢</t>
  </si>
  <si>
    <t>N27</t>
  </si>
  <si>
    <t>山口306</t>
  </si>
  <si>
    <t>山口県山口市黄金町6-5 エフ弐番館 306号室</t>
  </si>
  <si>
    <t>駐車場は17番</t>
  </si>
  <si>
    <t>N28</t>
  </si>
  <si>
    <t>鹿儿岛407</t>
  </si>
  <si>
    <t>鹿児島県鹿児島市新屋敷町19-10 JAウイング新屋敷 407号室</t>
  </si>
  <si>
    <t>N30</t>
  </si>
  <si>
    <t>新泻606</t>
  </si>
  <si>
    <t>新潟県新潟市中央区笹口2丁目7-14 メゾン・ド・リッシュ 606号室</t>
  </si>
  <si>
    <t>N31</t>
  </si>
  <si>
    <t>长冈215</t>
  </si>
  <si>
    <t>新潟県長岡市渡里町4-5 オクトワール長岡中央 215号室</t>
  </si>
  <si>
    <t>楼后面的停车位3号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</si>
</sst>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8.0"/>
      <color theme="1"/>
      <name val="Arial"/>
    </font>
    <font>
      <sz val="11.0"/>
      <color theme="1"/>
      <name val="Calibri"/>
    </font>
    <font/>
    <font>
      <sz val="18.0"/>
      <color theme="1"/>
      <name val="Yu Gothic"/>
    </font>
  </fonts>
  <fills count="4">
    <fill>
      <patternFill patternType="none"/>
    </fill>
    <fill>
      <patternFill patternType="lightGray"/>
    </fill>
    <fill>
      <patternFill patternType="solid">
        <fgColor rgb="FF00B0F0"/>
        <bgColor rgb="FF00B0F0"/>
      </patternFill>
    </fill>
    <fill>
      <patternFill patternType="solid">
        <fgColor rgb="FF92D050"/>
        <bgColor rgb="FF92D050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readingOrder="0"/>
    </xf>
    <xf borderId="0" fillId="0" fontId="1" numFmtId="49" xfId="0" applyFont="1" applyNumberFormat="1"/>
    <xf borderId="0" fillId="0" fontId="2" numFmtId="49" xfId="0" applyFont="1" applyNumberFormat="1"/>
    <xf borderId="1" fillId="0" fontId="1" numFmtId="49" xfId="0" applyBorder="1" applyFont="1" applyNumberFormat="1"/>
    <xf borderId="1" fillId="0" fontId="2" numFmtId="49" xfId="0" applyBorder="1" applyFont="1" applyNumberFormat="1"/>
    <xf borderId="2" fillId="0" fontId="1" numFmtId="49" xfId="0" applyBorder="1" applyFont="1" applyNumberFormat="1"/>
    <xf borderId="3" fillId="0" fontId="3" numFmtId="0" xfId="0" applyBorder="1" applyFont="1"/>
    <xf borderId="1" fillId="2" fontId="1" numFmtId="49" xfId="0" applyBorder="1" applyFill="1" applyFont="1" applyNumberFormat="1"/>
    <xf borderId="1" fillId="2" fontId="2" numFmtId="49" xfId="0" applyBorder="1" applyFont="1" applyNumberFormat="1"/>
    <xf borderId="1" fillId="3" fontId="1" numFmtId="49" xfId="0" applyBorder="1" applyFill="1" applyFont="1" applyNumberFormat="1"/>
    <xf borderId="2" fillId="3" fontId="1" numFmtId="49" xfId="0" applyBorder="1" applyFont="1" applyNumberFormat="1"/>
    <xf borderId="1" fillId="0" fontId="2" numFmtId="0" xfId="0" applyAlignment="1" applyBorder="1" applyFont="1">
      <alignment vertical="bottom"/>
    </xf>
    <xf borderId="1" fillId="0" fontId="1" numFmtId="0" xfId="0" applyBorder="1" applyFont="1"/>
    <xf borderId="1" fillId="0" fontId="2" numFmtId="0" xfId="0" applyBorder="1" applyFont="1"/>
    <xf borderId="1" fillId="0" fontId="1" numFmtId="49" xfId="0" applyAlignment="1" applyBorder="1" applyFont="1" applyNumberFormat="1">
      <alignment shrinkToFit="0" wrapText="1"/>
    </xf>
    <xf borderId="1" fillId="3" fontId="1" numFmtId="0" xfId="0" applyBorder="1" applyFont="1"/>
    <xf borderId="1" fillId="0" fontId="4" numFmtId="49" xfId="0" applyBorder="1" applyFont="1" applyNumberFormat="1"/>
    <xf borderId="1" fillId="3" fontId="2" numFmtId="49" xfId="0" applyBorder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0"/>
    <col customWidth="1" min="2" max="2" width="19.0"/>
    <col customWidth="1" min="3" max="3" width="105.5"/>
    <col customWidth="1" min="4" max="4" width="8.13"/>
    <col customWidth="1" min="5" max="5" width="27.0"/>
    <col customWidth="1" min="6" max="6" width="25.38"/>
    <col customWidth="1" min="7" max="7" width="132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3"/>
      <c r="K1" s="3"/>
      <c r="L1" s="3"/>
    </row>
    <row r="2">
      <c r="A2" s="2" t="str">
        <f>IFERROR(__xludf.DUMMYFUNCTION("REGEXEXTRACT(G2, ""^[^都道府県]+[都道府県]"")
"),"神奈川県")</f>
        <v>神奈川県</v>
      </c>
      <c r="B2" s="4" t="str">
        <f>IFERROR(__xludf.DUMMYFUNCTION("REGEXEXTRACT(G2, ""^[^都道府県]+[都道府県]([^0-9]+?[市区町村]+)"")
"),"横浜市")</f>
        <v>横浜市</v>
      </c>
      <c r="C2" s="4" t="str">
        <f t="shared" ref="C2:C259" si="1">extractCleanAddress(G2)</f>
        <v>神奈川県横浜市神奈川区東神奈川1-14-35 サンハロー東神奈川駅前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5"/>
    </row>
    <row r="3">
      <c r="A3" s="2" t="str">
        <f>IFERROR(__xludf.DUMMYFUNCTION("REGEXEXTRACT(G3, ""^[^都道府県]+[都道府県]"")
"),"神奈川県")</f>
        <v>神奈川県</v>
      </c>
      <c r="B3" s="4" t="str">
        <f>IFERROR(__xludf.DUMMYFUNCTION("REGEXEXTRACT(G3, ""^[^都道府県]+[都道府県]([^0-9]+?[市区町村]+)"")
"),"横浜市")</f>
        <v>横浜市</v>
      </c>
      <c r="C3" s="4" t="str">
        <f t="shared" si="1"/>
        <v>神奈川県横浜市神奈川区二ツ谷町2-10 餃子やと同じ建物の3階</v>
      </c>
      <c r="D3" s="4" t="s">
        <v>13</v>
      </c>
      <c r="E3" s="4" t="s">
        <v>14</v>
      </c>
      <c r="F3" s="4" t="s">
        <v>15</v>
      </c>
      <c r="G3" s="4" t="s">
        <v>16</v>
      </c>
      <c r="H3" s="4" t="s">
        <v>17</v>
      </c>
      <c r="I3" s="4" t="s">
        <v>10</v>
      </c>
      <c r="J3" s="4" t="s">
        <v>18</v>
      </c>
      <c r="K3" s="4" t="s">
        <v>19</v>
      </c>
      <c r="L3" s="5"/>
    </row>
    <row r="4">
      <c r="A4" s="2" t="str">
        <f>IFERROR(__xludf.DUMMYFUNCTION("REGEXEXTRACT(G4, ""^[^都道府県]+[都道府県]"")
"),"神奈川県")</f>
        <v>神奈川県</v>
      </c>
      <c r="B4" s="4" t="str">
        <f>IFERROR(__xludf.DUMMYFUNCTION("REGEXEXTRACT(G4, ""^[^都道府県]+[都道府県]([^0-9]+?[市区町村]+)"")
"),"横浜市")</f>
        <v>横浜市</v>
      </c>
      <c r="C4" s="4" t="str">
        <f t="shared" si="1"/>
        <v>神奈川県横浜市港北区新横浜3-21-2 プロシード新横浜</v>
      </c>
      <c r="D4" s="4" t="s">
        <v>20</v>
      </c>
      <c r="E4" s="4" t="s">
        <v>21</v>
      </c>
      <c r="F4" s="4" t="s">
        <v>7</v>
      </c>
      <c r="G4" s="4" t="s">
        <v>22</v>
      </c>
      <c r="H4" s="4" t="s">
        <v>9</v>
      </c>
      <c r="I4" s="4" t="s">
        <v>10</v>
      </c>
      <c r="J4" s="4" t="s">
        <v>18</v>
      </c>
      <c r="K4" s="6" t="s">
        <v>23</v>
      </c>
      <c r="L4" s="7"/>
    </row>
    <row r="5">
      <c r="A5" s="2" t="str">
        <f>IFERROR(__xludf.DUMMYFUNCTION("REGEXEXTRACT(G5, ""^[^都道府県]+[都道府県]"")
"),"神奈川県")</f>
        <v>神奈川県</v>
      </c>
      <c r="B5" s="4" t="str">
        <f>IFERROR(__xludf.DUMMYFUNCTION("REGEXEXTRACT(G5, ""^[^都道府県]+[都道府県]([^0-9]+?[市区町村]+)"")
"),"横浜市")</f>
        <v>横浜市</v>
      </c>
      <c r="C5" s="4" t="str">
        <f t="shared" si="1"/>
        <v>神奈川県横浜市戸塚区戸塚町4872 ウエストウインハイム</v>
      </c>
      <c r="D5" s="4" t="s">
        <v>24</v>
      </c>
      <c r="E5" s="4" t="s">
        <v>25</v>
      </c>
      <c r="F5" s="4" t="s">
        <v>7</v>
      </c>
      <c r="G5" s="4" t="s">
        <v>26</v>
      </c>
      <c r="H5" s="4" t="s">
        <v>9</v>
      </c>
      <c r="I5" s="4" t="s">
        <v>10</v>
      </c>
      <c r="J5" s="4" t="s">
        <v>11</v>
      </c>
      <c r="K5" s="4" t="s">
        <v>12</v>
      </c>
      <c r="L5" s="5"/>
    </row>
    <row r="6">
      <c r="A6" s="2" t="str">
        <f>IFERROR(__xludf.DUMMYFUNCTION("REGEXEXTRACT(G6, ""^[^都道府県]+[都道府県]"")
"),"神奈川県")</f>
        <v>神奈川県</v>
      </c>
      <c r="B6" s="4" t="str">
        <f>IFERROR(__xludf.DUMMYFUNCTION("REGEXEXTRACT(G6, ""^[^都道府県]+[都道府県]([^0-9]+?[市区町村]+)"")
"),"川崎市")</f>
        <v>川崎市</v>
      </c>
      <c r="C6" s="4" t="str">
        <f t="shared" si="1"/>
        <v>神奈川県川崎市多摩区登戸3287-2 スカイコートノボリト</v>
      </c>
      <c r="D6" s="4" t="s">
        <v>27</v>
      </c>
      <c r="E6" s="4" t="s">
        <v>28</v>
      </c>
      <c r="F6" s="4" t="s">
        <v>7</v>
      </c>
      <c r="G6" s="4" t="s">
        <v>29</v>
      </c>
      <c r="H6" s="4" t="s">
        <v>9</v>
      </c>
      <c r="I6" s="4" t="s">
        <v>10</v>
      </c>
      <c r="J6" s="4" t="s">
        <v>11</v>
      </c>
      <c r="K6" s="4" t="s">
        <v>12</v>
      </c>
      <c r="L6" s="5"/>
    </row>
    <row r="7">
      <c r="A7" s="2" t="str">
        <f>IFERROR(__xludf.DUMMYFUNCTION("REGEXEXTRACT(G7, ""^[^都道府県]+[都道府県]"")
"),"神奈川県")</f>
        <v>神奈川県</v>
      </c>
      <c r="B7" s="4" t="str">
        <f>IFERROR(__xludf.DUMMYFUNCTION("REGEXEXTRACT(G7, ""^[^都道府県]+[都道府県]([^0-9]+?[市区町村]+)"")
"),"川崎市")</f>
        <v>川崎市</v>
      </c>
      <c r="C7" s="4" t="str">
        <f t="shared" si="1"/>
        <v>神奈川県川崎市中原区新丸子東2-926-15 マノア武蔵小杉</v>
      </c>
      <c r="D7" s="4" t="s">
        <v>30</v>
      </c>
      <c r="E7" s="4" t="s">
        <v>31</v>
      </c>
      <c r="F7" s="4" t="s">
        <v>15</v>
      </c>
      <c r="G7" s="4" t="s">
        <v>32</v>
      </c>
      <c r="H7" s="4" t="s">
        <v>9</v>
      </c>
      <c r="I7" s="4" t="s">
        <v>10</v>
      </c>
      <c r="J7" s="4" t="s">
        <v>18</v>
      </c>
      <c r="K7" s="4" t="s">
        <v>33</v>
      </c>
      <c r="L7" s="5"/>
    </row>
    <row r="8">
      <c r="A8" s="2" t="str">
        <f>IFERROR(__xludf.DUMMYFUNCTION("REGEXEXTRACT(G8, ""^[^都道府県]+[都道府県]"")
"),"神奈川県")</f>
        <v>神奈川県</v>
      </c>
      <c r="B8" s="4" t="str">
        <f>IFERROR(__xludf.DUMMYFUNCTION("REGEXEXTRACT(G8, ""^[^都道府県]+[都道府県]([^0-9]+?[市区町村]+)"")
"),"川崎市")</f>
        <v>川崎市</v>
      </c>
      <c r="C8" s="4" t="str">
        <f t="shared" si="1"/>
        <v>神奈川県川崎市川崎区南町21-12 スカイコートパシフィック川崎</v>
      </c>
      <c r="D8" s="8" t="s">
        <v>34</v>
      </c>
      <c r="E8" s="8" t="s">
        <v>35</v>
      </c>
      <c r="F8" s="8" t="s">
        <v>36</v>
      </c>
      <c r="G8" s="8" t="s">
        <v>37</v>
      </c>
      <c r="H8" s="8" t="s">
        <v>9</v>
      </c>
      <c r="I8" s="8" t="s">
        <v>10</v>
      </c>
      <c r="J8" s="8" t="s">
        <v>11</v>
      </c>
      <c r="K8" s="9"/>
      <c r="L8" s="9"/>
    </row>
    <row r="9">
      <c r="A9" s="2" t="str">
        <f>IFERROR(__xludf.DUMMYFUNCTION("REGEXEXTRACT(G9, ""^[^都道府県]+[都道府県]"")
"),"神奈川県")</f>
        <v>神奈川県</v>
      </c>
      <c r="B9" s="4" t="str">
        <f>IFERROR(__xludf.DUMMYFUNCTION("REGEXEXTRACT(G9, ""^[^都道府県]+[都道府県]([^0-9]+?[市区町村]+)"")
"),"川崎市")</f>
        <v>川崎市</v>
      </c>
      <c r="C9" s="4" t="str">
        <f t="shared" si="1"/>
        <v>神奈川県川崎市川崎区日進町6-1 スカイコート川崎4</v>
      </c>
      <c r="D9" s="4" t="s">
        <v>38</v>
      </c>
      <c r="E9" s="4" t="s">
        <v>39</v>
      </c>
      <c r="F9" s="4" t="s">
        <v>36</v>
      </c>
      <c r="G9" s="4" t="s">
        <v>40</v>
      </c>
      <c r="H9" s="4" t="s">
        <v>9</v>
      </c>
      <c r="I9" s="4" t="s">
        <v>10</v>
      </c>
      <c r="J9" s="4" t="s">
        <v>11</v>
      </c>
      <c r="K9" s="5"/>
      <c r="L9" s="5"/>
    </row>
    <row r="10">
      <c r="A10" s="2" t="str">
        <f>IFERROR(__xludf.DUMMYFUNCTION("REGEXEXTRACT(G10, ""^[^都道府県]+[都道府県]"")
"),"神奈川県")</f>
        <v>神奈川県</v>
      </c>
      <c r="B10" s="4" t="str">
        <f>IFERROR(__xludf.DUMMYFUNCTION("REGEXEXTRACT(G10, ""^[^都道府県]+[都道府県]([^0-9]+?[市区町村]+)"")
"),"川崎市")</f>
        <v>川崎市</v>
      </c>
      <c r="C10" s="4" t="str">
        <f t="shared" si="1"/>
        <v>神奈川県川崎市川崎区南町2-24 ライオンズマンション川崎駅南</v>
      </c>
      <c r="D10" s="4" t="s">
        <v>41</v>
      </c>
      <c r="E10" s="4" t="s">
        <v>42</v>
      </c>
      <c r="F10" s="4" t="s">
        <v>15</v>
      </c>
      <c r="G10" s="4" t="s">
        <v>43</v>
      </c>
      <c r="H10" s="4" t="s">
        <v>9</v>
      </c>
      <c r="I10" s="4" t="s">
        <v>44</v>
      </c>
      <c r="J10" s="5"/>
      <c r="K10" s="4" t="s">
        <v>45</v>
      </c>
      <c r="L10" s="5"/>
    </row>
    <row r="11">
      <c r="A11" s="2" t="str">
        <f>IFERROR(__xludf.DUMMYFUNCTION("REGEXEXTRACT(G11, ""^[^都道府県]+[都道府県]"")
"),"神奈川県")</f>
        <v>神奈川県</v>
      </c>
      <c r="B11" s="4" t="str">
        <f>IFERROR(__xludf.DUMMYFUNCTION("REGEXEXTRACT(G11, ""^[^都道府県]+[都道府県]([^0-9]+?[市区町村]+)"")
"),"横浜市")</f>
        <v>横浜市</v>
      </c>
      <c r="C11" s="4" t="str">
        <f t="shared" si="1"/>
        <v>神奈川県横浜市鶴見区鶴見中央5丁目10-2 ヴェラハイツ鶴見</v>
      </c>
      <c r="D11" s="10" t="s">
        <v>46</v>
      </c>
      <c r="E11" s="10" t="s">
        <v>47</v>
      </c>
      <c r="F11" s="10" t="s">
        <v>48</v>
      </c>
      <c r="G11" s="10" t="s">
        <v>49</v>
      </c>
      <c r="H11" s="10" t="s">
        <v>9</v>
      </c>
      <c r="I11" s="10" t="s">
        <v>10</v>
      </c>
      <c r="J11" s="10" t="s">
        <v>18</v>
      </c>
      <c r="K11" s="11" t="s">
        <v>50</v>
      </c>
      <c r="L11" s="7"/>
    </row>
    <row r="12">
      <c r="A12" s="2" t="str">
        <f>IFERROR(__xludf.DUMMYFUNCTION("REGEXEXTRACT(G12, ""^[^都道府県]+[都道府県]"")
"),"神奈川県")</f>
        <v>神奈川県</v>
      </c>
      <c r="B12" s="4" t="str">
        <f>IFERROR(__xludf.DUMMYFUNCTION("REGEXEXTRACT(G12, ""^[^都道府県]+[都道府県]([^0-9]+?[市区町村]+)"")
"),"横浜市")</f>
        <v>横浜市</v>
      </c>
      <c r="C12" s="4" t="str">
        <f t="shared" si="1"/>
        <v>神奈川県横浜市鶴見区鶴見中央1丁目10-3 鶴見ハウス</v>
      </c>
      <c r="D12" s="4" t="s">
        <v>51</v>
      </c>
      <c r="E12" s="4" t="s">
        <v>52</v>
      </c>
      <c r="F12" s="4" t="s">
        <v>7</v>
      </c>
      <c r="G12" s="4" t="s">
        <v>53</v>
      </c>
      <c r="H12" s="4" t="s">
        <v>17</v>
      </c>
      <c r="I12" s="4" t="s">
        <v>10</v>
      </c>
      <c r="J12" s="4" t="s">
        <v>18</v>
      </c>
      <c r="K12" s="4" t="s">
        <v>54</v>
      </c>
      <c r="L12" s="5"/>
    </row>
    <row r="13">
      <c r="A13" s="2" t="str">
        <f>IFERROR(__xludf.DUMMYFUNCTION("REGEXEXTRACT(G13, ""^[^都道府県]+[都道府県]"")
"),"神奈川県")</f>
        <v>神奈川県</v>
      </c>
      <c r="B13" s="4" t="str">
        <f>IFERROR(__xludf.DUMMYFUNCTION("REGEXEXTRACT(G13, ""^[^都道府県]+[都道府県]([^0-9]+?[市区町村]+)"")
"),"横浜市")</f>
        <v>横浜市</v>
      </c>
      <c r="C13" s="4" t="str">
        <f t="shared" si="1"/>
        <v>神奈川県横浜市鶴見区鶴見中央1-2-4 GSプラザ鶴見駅前ビル</v>
      </c>
      <c r="D13" s="4" t="s">
        <v>55</v>
      </c>
      <c r="E13" s="4" t="s">
        <v>56</v>
      </c>
      <c r="F13" s="4" t="s">
        <v>48</v>
      </c>
      <c r="G13" s="4" t="s">
        <v>57</v>
      </c>
      <c r="H13" s="4" t="s">
        <v>58</v>
      </c>
      <c r="I13" s="4" t="s">
        <v>10</v>
      </c>
      <c r="J13" s="4" t="s">
        <v>11</v>
      </c>
      <c r="K13" s="5"/>
      <c r="L13" s="12"/>
    </row>
    <row r="14">
      <c r="A14" s="2" t="str">
        <f>IFERROR(__xludf.DUMMYFUNCTION("REGEXEXTRACT(G14, ""^[^都道府県]+[都道府県]"")
"),"神奈川県")</f>
        <v>神奈川県</v>
      </c>
      <c r="B14" s="4" t="str">
        <f>IFERROR(__xludf.DUMMYFUNCTION("REGEXEXTRACT(G14, ""^[^都道府県]+[都道府県]([^0-9]+?[市区町村]+)"")
"),"横浜市")</f>
        <v>横浜市</v>
      </c>
      <c r="C14" s="4" t="str">
        <f t="shared" si="1"/>
        <v>神奈川県横浜市鶴見区鶴見中央1-5-5 アオキビル第28</v>
      </c>
      <c r="D14" s="4" t="s">
        <v>59</v>
      </c>
      <c r="E14" s="4" t="s">
        <v>60</v>
      </c>
      <c r="F14" s="4" t="s">
        <v>15</v>
      </c>
      <c r="G14" s="4" t="s">
        <v>61</v>
      </c>
      <c r="H14" s="4" t="s">
        <v>9</v>
      </c>
      <c r="I14" s="4" t="s">
        <v>10</v>
      </c>
      <c r="J14" s="4" t="s">
        <v>18</v>
      </c>
      <c r="K14" s="6" t="s">
        <v>23</v>
      </c>
      <c r="L14" s="7"/>
    </row>
    <row r="15">
      <c r="A15" s="2" t="str">
        <f>IFERROR(__xludf.DUMMYFUNCTION("REGEXEXTRACT(G15, ""^[^都道府県]+[都道府県]"")
"),"神奈川県")</f>
        <v>神奈川県</v>
      </c>
      <c r="B15" s="4" t="str">
        <f>IFERROR(__xludf.DUMMYFUNCTION("REGEXEXTRACT(G15, ""^[^都道府県]+[都道府県]([^0-9]+?[市区町村]+)"")
"),"相模原市")</f>
        <v>相模原市</v>
      </c>
      <c r="C15" s="4" t="str">
        <f t="shared" si="1"/>
        <v>神奈川県相模原市南区相模大野7-3-1 メゾン・カネト</v>
      </c>
      <c r="D15" s="4" t="s">
        <v>62</v>
      </c>
      <c r="E15" s="4" t="s">
        <v>63</v>
      </c>
      <c r="F15" s="4" t="s">
        <v>15</v>
      </c>
      <c r="G15" s="4" t="s">
        <v>64</v>
      </c>
      <c r="H15" s="4" t="s">
        <v>17</v>
      </c>
      <c r="I15" s="4" t="s">
        <v>10</v>
      </c>
      <c r="J15" s="4" t="s">
        <v>18</v>
      </c>
      <c r="K15" s="5"/>
      <c r="L15" s="5"/>
    </row>
    <row r="16">
      <c r="A16" s="2" t="str">
        <f>IFERROR(__xludf.DUMMYFUNCTION("REGEXEXTRACT(G16, ""^[^都道府県]+[都道府県]"")
"),"神奈川県")</f>
        <v>神奈川県</v>
      </c>
      <c r="B16" s="4" t="str">
        <f>IFERROR(__xludf.DUMMYFUNCTION("REGEXEXTRACT(G16, ""^[^都道府県]+[都道府県]([^0-9]+?[市区町村]+)"")
"),"大和市")</f>
        <v>大和市</v>
      </c>
      <c r="C16" s="4" t="str">
        <f t="shared" si="1"/>
        <v>神奈川県大和市中央林間4-1-5 メゾンラフィッテ</v>
      </c>
      <c r="D16" s="4" t="s">
        <v>65</v>
      </c>
      <c r="E16" s="4" t="s">
        <v>66</v>
      </c>
      <c r="F16" s="4" t="s">
        <v>15</v>
      </c>
      <c r="G16" s="4" t="s">
        <v>67</v>
      </c>
      <c r="H16" s="4" t="s">
        <v>58</v>
      </c>
      <c r="I16" s="4" t="s">
        <v>10</v>
      </c>
      <c r="J16" s="4" t="s">
        <v>18</v>
      </c>
      <c r="K16" s="5"/>
      <c r="L16" s="5"/>
    </row>
    <row r="17">
      <c r="A17" s="2" t="str">
        <f>IFERROR(__xludf.DUMMYFUNCTION("REGEXEXTRACT(G17, ""^[^都道府県]+[都道府県]"")
"),"神奈川県")</f>
        <v>神奈川県</v>
      </c>
      <c r="B17" s="4" t="str">
        <f>IFERROR(__xludf.DUMMYFUNCTION("REGEXEXTRACT(G17, ""^[^都道府県]+[都道府県]([^0-9]+?[市区町村]+)"")
"),"横浜市")</f>
        <v>横浜市</v>
      </c>
      <c r="C17" s="4" t="str">
        <f t="shared" si="1"/>
        <v>神奈川県横浜市戸塚区上倉田町1000 ハイツ山重</v>
      </c>
      <c r="D17" s="10" t="s">
        <v>68</v>
      </c>
      <c r="E17" s="10" t="s">
        <v>69</v>
      </c>
      <c r="F17" s="10" t="s">
        <v>48</v>
      </c>
      <c r="G17" s="10" t="s">
        <v>70</v>
      </c>
      <c r="H17" s="10" t="s">
        <v>9</v>
      </c>
      <c r="I17" s="10" t="s">
        <v>10</v>
      </c>
      <c r="J17" s="10" t="s">
        <v>18</v>
      </c>
      <c r="K17" s="11" t="s">
        <v>71</v>
      </c>
      <c r="L17" s="7"/>
    </row>
    <row r="18">
      <c r="A18" s="2" t="str">
        <f>IFERROR(__xludf.DUMMYFUNCTION("REGEXEXTRACT(G18, ""^[^都道府県]+[都道府県]"")
"),"神奈川県")</f>
        <v>神奈川県</v>
      </c>
      <c r="B18" s="4" t="str">
        <f>IFERROR(__xludf.DUMMYFUNCTION("REGEXEXTRACT(G18, ""^[^都道府県]+[都道府県]([^0-9]+?[市区町村]+)"")
"),"横須賀市")</f>
        <v>横須賀市</v>
      </c>
      <c r="C18" s="4" t="str">
        <f t="shared" si="1"/>
        <v>神奈川県横須賀市日の出町1-2-7 ノイエヨコスカ1番館</v>
      </c>
      <c r="D18" s="4" t="s">
        <v>72</v>
      </c>
      <c r="E18" s="4" t="s">
        <v>73</v>
      </c>
      <c r="F18" s="4" t="s">
        <v>36</v>
      </c>
      <c r="G18" s="4" t="s">
        <v>74</v>
      </c>
      <c r="H18" s="4" t="s">
        <v>58</v>
      </c>
      <c r="I18" s="4" t="s">
        <v>10</v>
      </c>
      <c r="J18" s="4" t="s">
        <v>11</v>
      </c>
      <c r="K18" s="4" t="s">
        <v>75</v>
      </c>
      <c r="L18" s="5"/>
    </row>
    <row r="19">
      <c r="A19" s="2" t="str">
        <f>IFERROR(__xludf.DUMMYFUNCTION("REGEXEXTRACT(G19, ""^[^都道府県]+[都道府県]"")
"),"神奈川県")</f>
        <v>神奈川県</v>
      </c>
      <c r="B19" s="4" t="str">
        <f>IFERROR(__xludf.DUMMYFUNCTION("REGEXEXTRACT(G19, ""^[^都道府県]+[都道府県]([^0-9]+?[市区町村]+)"")
"),"藤沢市")</f>
        <v>藤沢市</v>
      </c>
      <c r="C19" s="4" t="str">
        <f t="shared" si="1"/>
        <v>神奈川県藤沢市鵠沼橘1丁目17-14 メゾンド橘</v>
      </c>
      <c r="D19" s="10" t="s">
        <v>76</v>
      </c>
      <c r="E19" s="10" t="s">
        <v>77</v>
      </c>
      <c r="F19" s="10" t="s">
        <v>48</v>
      </c>
      <c r="G19" s="10" t="s">
        <v>78</v>
      </c>
      <c r="H19" s="10" t="s">
        <v>9</v>
      </c>
      <c r="I19" s="10" t="s">
        <v>10</v>
      </c>
      <c r="J19" s="10" t="s">
        <v>18</v>
      </c>
      <c r="K19" s="11" t="s">
        <v>79</v>
      </c>
      <c r="L19" s="7"/>
    </row>
    <row r="20">
      <c r="A20" s="2" t="str">
        <f>IFERROR(__xludf.DUMMYFUNCTION("REGEXEXTRACT(G20, ""^[^都道府県]+[都道府県]"")
"),"神奈川県")</f>
        <v>神奈川県</v>
      </c>
      <c r="B20" s="4" t="str">
        <f>IFERROR(__xludf.DUMMYFUNCTION("REGEXEXTRACT(G20, ""^[^都道府県]+[都道府県]([^0-9]+?[市区町村]+)"")
"),"藤沢市")</f>
        <v>藤沢市</v>
      </c>
      <c r="C20" s="4" t="str">
        <f t="shared" si="1"/>
        <v>神奈川県藤沢市鵠沼花沢町2-2 グレースコート湘南</v>
      </c>
      <c r="D20" s="4" t="s">
        <v>80</v>
      </c>
      <c r="E20" s="4" t="s">
        <v>81</v>
      </c>
      <c r="F20" s="4" t="s">
        <v>15</v>
      </c>
      <c r="G20" s="4" t="s">
        <v>82</v>
      </c>
      <c r="H20" s="4" t="s">
        <v>17</v>
      </c>
      <c r="I20" s="4" t="s">
        <v>10</v>
      </c>
      <c r="J20" s="5"/>
      <c r="K20" s="5"/>
      <c r="L20" s="5"/>
    </row>
    <row r="21">
      <c r="A21" s="2" t="str">
        <f>IFERROR(__xludf.DUMMYFUNCTION("REGEXEXTRACT(G21, ""^[^都道府県]+[都道府県]"")
"),"神奈川県")</f>
        <v>神奈川県</v>
      </c>
      <c r="B21" s="4" t="str">
        <f>IFERROR(__xludf.DUMMYFUNCTION("REGEXEXTRACT(G21, ""^[^都道府県]+[都道府県]([^0-9]+?[市区町村]+)"")
"),"藤沢市")</f>
        <v>藤沢市</v>
      </c>
      <c r="C21" s="4" t="str">
        <f t="shared" si="1"/>
        <v>神奈川県藤沢市藤沢1031-1 日神パレステージ藤沢</v>
      </c>
      <c r="D21" s="8" t="s">
        <v>83</v>
      </c>
      <c r="E21" s="8" t="s">
        <v>84</v>
      </c>
      <c r="F21" s="8" t="s">
        <v>85</v>
      </c>
      <c r="G21" s="8" t="s">
        <v>86</v>
      </c>
      <c r="H21" s="8" t="s">
        <v>58</v>
      </c>
      <c r="I21" s="8" t="s">
        <v>10</v>
      </c>
      <c r="J21" s="9"/>
      <c r="K21" s="9"/>
      <c r="L21" s="9"/>
    </row>
    <row r="22">
      <c r="A22" s="2" t="str">
        <f>IFERROR(__xludf.DUMMYFUNCTION("REGEXEXTRACT(G22, ""^[^都道府県]+[都道府県]"")
"),"神奈川県")</f>
        <v>神奈川県</v>
      </c>
      <c r="B22" s="4" t="str">
        <f>IFERROR(__xludf.DUMMYFUNCTION("REGEXEXTRACT(G22, ""^[^都道府県]+[都道府県]([^0-9]+?[市区町村]+)"")
"),"茅ヶ崎市")</f>
        <v>茅ヶ崎市</v>
      </c>
      <c r="C22" s="4" t="str">
        <f t="shared" si="1"/>
        <v>神奈川県茅ヶ崎市新栄町13-16 茅ヶ崎ダイカンプラザシティ</v>
      </c>
      <c r="D22" s="10" t="s">
        <v>87</v>
      </c>
      <c r="E22" s="10" t="s">
        <v>88</v>
      </c>
      <c r="F22" s="10" t="s">
        <v>48</v>
      </c>
      <c r="G22" s="10" t="s">
        <v>89</v>
      </c>
      <c r="H22" s="10" t="s">
        <v>9</v>
      </c>
      <c r="I22" s="10" t="s">
        <v>10</v>
      </c>
      <c r="J22" s="10" t="s">
        <v>18</v>
      </c>
      <c r="K22" s="11" t="s">
        <v>90</v>
      </c>
      <c r="L22" s="7"/>
    </row>
    <row r="23">
      <c r="A23" s="2" t="str">
        <f>IFERROR(__xludf.DUMMYFUNCTION("REGEXEXTRACT(G23, ""^[^都道府県]+[都道府県]"")
"),"神奈川県")</f>
        <v>神奈川県</v>
      </c>
      <c r="B23" s="4" t="str">
        <f>IFERROR(__xludf.DUMMYFUNCTION("REGEXEXTRACT(G23, ""^[^都道府県]+[都道府県]([^0-9]+?[市区町村]+)"")
"),"海老名市")</f>
        <v>海老名市</v>
      </c>
      <c r="C23" s="4" t="str">
        <f t="shared" si="1"/>
        <v>神奈川県海老名市国分南1丁目11-6 フレクション海老名国分</v>
      </c>
      <c r="D23" s="4" t="s">
        <v>91</v>
      </c>
      <c r="E23" s="4" t="s">
        <v>92</v>
      </c>
      <c r="F23" s="4" t="s">
        <v>48</v>
      </c>
      <c r="G23" s="4" t="s">
        <v>93</v>
      </c>
      <c r="H23" s="4" t="s">
        <v>94</v>
      </c>
      <c r="I23" s="4" t="s">
        <v>10</v>
      </c>
      <c r="J23" s="5"/>
      <c r="K23" s="5"/>
      <c r="L23" s="5"/>
    </row>
    <row r="24">
      <c r="A24" s="2" t="str">
        <f>IFERROR(__xludf.DUMMYFUNCTION("REGEXEXTRACT(G24, ""^[^都道府県]+[都道府県]"")
"),"東京都")</f>
        <v>東京都</v>
      </c>
      <c r="B24" s="4" t="str">
        <f>IFERROR(__xludf.DUMMYFUNCTION("REGEXEXTRACT(G24, ""^[^都道府県]+[都道府県]([^0-9]+?[市区町村]+)"")
"),"江東区")</f>
        <v>江東区</v>
      </c>
      <c r="C24" s="4" t="str">
        <f t="shared" si="1"/>
        <v>東京都江東区亀戸6-12-7 第2伸光マンション</v>
      </c>
      <c r="D24" s="4" t="s">
        <v>95</v>
      </c>
      <c r="E24" s="4" t="s">
        <v>96</v>
      </c>
      <c r="F24" s="4" t="s">
        <v>97</v>
      </c>
      <c r="G24" s="4" t="s">
        <v>98</v>
      </c>
      <c r="H24" s="4" t="s">
        <v>17</v>
      </c>
      <c r="I24" s="4" t="s">
        <v>44</v>
      </c>
      <c r="J24" s="5"/>
      <c r="K24" s="5"/>
      <c r="L24" s="5"/>
    </row>
    <row r="25">
      <c r="A25" s="2" t="str">
        <f>IFERROR(__xludf.DUMMYFUNCTION("REGEXEXTRACT(G25, ""^[^都道府県]+[都道府県]"")
"),"東京都")</f>
        <v>東京都</v>
      </c>
      <c r="B25" s="4" t="str">
        <f>IFERROR(__xludf.DUMMYFUNCTION("REGEXEXTRACT(G25, ""^[^都道府県]+[都道府県]([^0-9]+?[市区町村]+)"")
"),"江東区")</f>
        <v>江東区</v>
      </c>
      <c r="C25" s="4" t="str">
        <f t="shared" si="1"/>
        <v>東京都江東区亀戸6丁目44-4 RESIDENCETOKYO亀戸Ⅱ</v>
      </c>
      <c r="D25" s="4" t="s">
        <v>99</v>
      </c>
      <c r="E25" s="4" t="s">
        <v>100</v>
      </c>
      <c r="F25" s="4" t="s">
        <v>101</v>
      </c>
      <c r="G25" s="4" t="s">
        <v>102</v>
      </c>
      <c r="H25" s="4" t="s">
        <v>9</v>
      </c>
      <c r="I25" s="4" t="s">
        <v>10</v>
      </c>
      <c r="J25" s="4" t="s">
        <v>11</v>
      </c>
      <c r="K25" s="5"/>
      <c r="L25" s="5"/>
    </row>
    <row r="26">
      <c r="A26" s="2" t="str">
        <f>IFERROR(__xludf.DUMMYFUNCTION("REGEXEXTRACT(G26, ""^[^都道府県]+[都道府県]"")
"),"東京都")</f>
        <v>東京都</v>
      </c>
      <c r="B26" s="4" t="str">
        <f>IFERROR(__xludf.DUMMYFUNCTION("REGEXEXTRACT(G26, ""^[^都道府県]+[都道府県]([^0-9]+?[市区町村]+)"")
"),"江東区")</f>
        <v>江東区</v>
      </c>
      <c r="C26" s="4" t="str">
        <f t="shared" si="1"/>
        <v>東京都江東区亀戸6丁目47-2 ウィンベル亀戸(MONTHLY亀戸1)</v>
      </c>
      <c r="D26" s="10" t="s">
        <v>103</v>
      </c>
      <c r="E26" s="10" t="s">
        <v>104</v>
      </c>
      <c r="F26" s="10" t="s">
        <v>15</v>
      </c>
      <c r="G26" s="10" t="s">
        <v>105</v>
      </c>
      <c r="H26" s="10" t="s">
        <v>9</v>
      </c>
      <c r="I26" s="10" t="s">
        <v>10</v>
      </c>
      <c r="J26" s="10" t="s">
        <v>18</v>
      </c>
      <c r="K26" s="11" t="s">
        <v>90</v>
      </c>
      <c r="L26" s="7"/>
    </row>
    <row r="27">
      <c r="A27" s="2" t="str">
        <f>IFERROR(__xludf.DUMMYFUNCTION("REGEXEXTRACT(G27, ""^[^都道府県]+[都道府県]"")
"),"東京都")</f>
        <v>東京都</v>
      </c>
      <c r="B27" s="4" t="str">
        <f>IFERROR(__xludf.DUMMYFUNCTION("REGEXEXTRACT(G27, ""^[^都道府県]+[都道府県]([^0-9]+?[市区町村]+)"")
"),"江戸川区")</f>
        <v>江戸川区</v>
      </c>
      <c r="C27" s="4" t="str">
        <f t="shared" si="1"/>
        <v>東京都江戸川区西小岩1丁目30-11 ハイホーム沖田</v>
      </c>
      <c r="D27" s="4" t="s">
        <v>106</v>
      </c>
      <c r="E27" s="4" t="s">
        <v>107</v>
      </c>
      <c r="F27" s="4" t="s">
        <v>85</v>
      </c>
      <c r="G27" s="4" t="s">
        <v>108</v>
      </c>
      <c r="H27" s="4" t="s">
        <v>58</v>
      </c>
      <c r="I27" s="4" t="s">
        <v>10</v>
      </c>
      <c r="J27" s="4" t="s">
        <v>11</v>
      </c>
      <c r="K27" s="4" t="s">
        <v>109</v>
      </c>
      <c r="L27" s="5"/>
    </row>
    <row r="28">
      <c r="A28" s="2" t="str">
        <f>IFERROR(__xludf.DUMMYFUNCTION("REGEXEXTRACT(G28, ""^[^都道府県]+[都道府県]"")
"),"東京都")</f>
        <v>東京都</v>
      </c>
      <c r="B28" s="4" t="str">
        <f>IFERROR(__xludf.DUMMYFUNCTION("REGEXEXTRACT(G28, ""^[^都道府県]+[都道府県]([^0-9]+?[市区町村]+)"")
"),"足立区")</f>
        <v>足立区</v>
      </c>
      <c r="C28" s="4" t="str">
        <f t="shared" si="1"/>
        <v>東京都足立区綾瀬3-9-7 VERXEED綾瀬駅前</v>
      </c>
      <c r="D28" s="4" t="s">
        <v>110</v>
      </c>
      <c r="E28" s="4" t="s">
        <v>111</v>
      </c>
      <c r="F28" s="4" t="s">
        <v>7</v>
      </c>
      <c r="G28" s="4" t="s">
        <v>112</v>
      </c>
      <c r="H28" s="4" t="s">
        <v>113</v>
      </c>
      <c r="I28" s="4" t="s">
        <v>44</v>
      </c>
      <c r="J28" s="5"/>
      <c r="K28" s="5"/>
      <c r="L28" s="5"/>
    </row>
    <row r="29">
      <c r="A29" s="2" t="str">
        <f>IFERROR(__xludf.DUMMYFUNCTION("REGEXEXTRACT(G29, ""^[^都道府県]+[都道府県]"")
"),"東京都")</f>
        <v>東京都</v>
      </c>
      <c r="B29" s="4" t="str">
        <f>IFERROR(__xludf.DUMMYFUNCTION("REGEXEXTRACT(G29, ""^[^都道府県]+[都道府県]([^0-9]+?[市区町村]+)"")
"),"足立区")</f>
        <v>足立区</v>
      </c>
      <c r="C29" s="4" t="str">
        <f t="shared" si="1"/>
        <v>東京都足立区青井2丁目24-5 コートアオイ</v>
      </c>
      <c r="D29" s="4" t="s">
        <v>114</v>
      </c>
      <c r="E29" s="4" t="s">
        <v>115</v>
      </c>
      <c r="F29" s="4" t="s">
        <v>15</v>
      </c>
      <c r="G29" s="4" t="s">
        <v>116</v>
      </c>
      <c r="H29" s="4" t="s">
        <v>113</v>
      </c>
      <c r="I29" s="4" t="s">
        <v>44</v>
      </c>
      <c r="J29" s="5"/>
      <c r="K29" s="4" t="s">
        <v>117</v>
      </c>
      <c r="L29" s="5"/>
    </row>
    <row r="30">
      <c r="A30" s="2" t="str">
        <f>IFERROR(__xludf.DUMMYFUNCTION("REGEXEXTRACT(G30, ""^[^都道府県]+[都道府県]"")
"),"東京都")</f>
        <v>東京都</v>
      </c>
      <c r="B30" s="4" t="str">
        <f>IFERROR(__xludf.DUMMYFUNCTION("REGEXEXTRACT(G30, ""^[^都道府県]+[都道府県]([^0-9]+?[市区町村]+)"")
"),"台東区")</f>
        <v>台東区</v>
      </c>
      <c r="C30" s="4" t="str">
        <f t="shared" si="1"/>
        <v>東京都台東区根岸2-21-13 ジョイフル根岸</v>
      </c>
      <c r="D30" s="4" t="s">
        <v>118</v>
      </c>
      <c r="E30" s="4" t="s">
        <v>119</v>
      </c>
      <c r="F30" s="4" t="s">
        <v>48</v>
      </c>
      <c r="G30" s="4" t="s">
        <v>120</v>
      </c>
      <c r="H30" s="4" t="s">
        <v>58</v>
      </c>
      <c r="I30" s="4" t="s">
        <v>10</v>
      </c>
      <c r="J30" s="4" t="s">
        <v>11</v>
      </c>
      <c r="K30" s="4" t="s">
        <v>121</v>
      </c>
      <c r="L30" s="5"/>
    </row>
    <row r="31">
      <c r="A31" s="2" t="str">
        <f>IFERROR(__xludf.DUMMYFUNCTION("REGEXEXTRACT(G31, ""^[^都道府県]+[都道府県]"")
"),"東京都")</f>
        <v>東京都</v>
      </c>
      <c r="B31" s="4" t="str">
        <f>IFERROR(__xludf.DUMMYFUNCTION("REGEXEXTRACT(G31, ""^[^都道府県]+[都道府県]([^0-9]+?[市区町村]+)"")
"),"墨田区")</f>
        <v>墨田区</v>
      </c>
      <c r="C31" s="4" t="str">
        <f t="shared" si="1"/>
        <v>東京都墨田区錦糸1-6-9 メインステージ錦糸町駅前</v>
      </c>
      <c r="D31" s="4" t="s">
        <v>122</v>
      </c>
      <c r="E31" s="4" t="s">
        <v>123</v>
      </c>
      <c r="F31" s="4" t="s">
        <v>48</v>
      </c>
      <c r="G31" s="4" t="s">
        <v>124</v>
      </c>
      <c r="H31" s="4" t="s">
        <v>58</v>
      </c>
      <c r="I31" s="4" t="s">
        <v>10</v>
      </c>
      <c r="J31" s="4" t="s">
        <v>11</v>
      </c>
      <c r="K31" s="4" t="s">
        <v>121</v>
      </c>
      <c r="L31" s="5"/>
    </row>
    <row r="32">
      <c r="A32" s="2" t="str">
        <f>IFERROR(__xludf.DUMMYFUNCTION("REGEXEXTRACT(G32, ""^[^都道府県]+[都道府県]"")
"),"東京都")</f>
        <v>東京都</v>
      </c>
      <c r="B32" s="4" t="str">
        <f>IFERROR(__xludf.DUMMYFUNCTION("REGEXEXTRACT(G32, ""^[^都道府県]+[都道府県]([^0-9]+?[市区町村]+)"")
"),"豊島区")</f>
        <v>豊島区</v>
      </c>
      <c r="C32" s="4" t="str">
        <f t="shared" si="1"/>
        <v>東京都豊島区池袋本町4丁目30-15</v>
      </c>
      <c r="D32" s="4" t="s">
        <v>125</v>
      </c>
      <c r="E32" s="4" t="s">
        <v>126</v>
      </c>
      <c r="F32" s="4" t="s">
        <v>48</v>
      </c>
      <c r="G32" s="4" t="s">
        <v>127</v>
      </c>
      <c r="H32" s="4" t="s">
        <v>58</v>
      </c>
      <c r="I32" s="4" t="s">
        <v>44</v>
      </c>
      <c r="J32" s="5"/>
      <c r="K32" s="5"/>
      <c r="L32" s="5"/>
    </row>
    <row r="33">
      <c r="A33" s="2" t="str">
        <f>IFERROR(__xludf.DUMMYFUNCTION("REGEXEXTRACT(G33, ""^[^都道府県]+[都道府県]"")
"),"東京都")</f>
        <v>東京都</v>
      </c>
      <c r="B33" s="4" t="str">
        <f>IFERROR(__xludf.DUMMYFUNCTION("REGEXEXTRACT(G33, ""^[^都道府県]+[都道府県]([^0-9]+?[市区町村]+)"")
"),"豊島区")</f>
        <v>豊島区</v>
      </c>
      <c r="C33" s="4" t="str">
        <f t="shared" si="1"/>
        <v>東京都豊島区駒込2-4-2ペニンシュラ・コマゴメ</v>
      </c>
      <c r="D33" s="4" t="s">
        <v>128</v>
      </c>
      <c r="E33" s="4" t="s">
        <v>129</v>
      </c>
      <c r="F33" s="4" t="s">
        <v>130</v>
      </c>
      <c r="G33" s="4" t="s">
        <v>131</v>
      </c>
      <c r="H33" s="4" t="s">
        <v>94</v>
      </c>
      <c r="I33" s="5"/>
      <c r="J33" s="5"/>
      <c r="K33" s="4" t="s">
        <v>132</v>
      </c>
      <c r="L33" s="5"/>
    </row>
    <row r="34">
      <c r="A34" s="2" t="str">
        <f>IFERROR(__xludf.DUMMYFUNCTION("REGEXEXTRACT(G34, ""^[^都道府県]+[都道府県]"")
"),"東京都")</f>
        <v>東京都</v>
      </c>
      <c r="B34" s="4" t="str">
        <f>IFERROR(__xludf.DUMMYFUNCTION("REGEXEXTRACT(G34, ""^[^都道府県]+[都道府県]([^0-9]+?[市区町村]+)"")
"),"板橋区")</f>
        <v>板橋区</v>
      </c>
      <c r="C34" s="4" t="str">
        <f t="shared" si="1"/>
        <v>東京都板橋区赤塚3丁目19-8 TOP成増2</v>
      </c>
      <c r="D34" s="10" t="s">
        <v>133</v>
      </c>
      <c r="E34" s="10" t="s">
        <v>134</v>
      </c>
      <c r="F34" s="10" t="s">
        <v>48</v>
      </c>
      <c r="G34" s="10" t="s">
        <v>135</v>
      </c>
      <c r="H34" s="10" t="s">
        <v>9</v>
      </c>
      <c r="I34" s="10" t="s">
        <v>10</v>
      </c>
      <c r="J34" s="10" t="s">
        <v>18</v>
      </c>
      <c r="K34" s="11" t="s">
        <v>136</v>
      </c>
      <c r="L34" s="7"/>
    </row>
    <row r="35">
      <c r="A35" s="2" t="str">
        <f>IFERROR(__xludf.DUMMYFUNCTION("REGEXEXTRACT(G35, ""^[^都道府県]+[都道府県]"")
"),"東京都")</f>
        <v>東京都</v>
      </c>
      <c r="B35" s="4" t="str">
        <f>IFERROR(__xludf.DUMMYFUNCTION("REGEXEXTRACT(G35, ""^[^都道府県]+[都道府県]([^0-9]+?[市区町村]+)"")
"),"大田区")</f>
        <v>大田区</v>
      </c>
      <c r="C35" s="4" t="str">
        <f t="shared" si="1"/>
        <v>東京都大田区西蒲田8-22-3 インペリアル蒲田</v>
      </c>
      <c r="D35" s="4" t="s">
        <v>137</v>
      </c>
      <c r="E35" s="4" t="s">
        <v>138</v>
      </c>
      <c r="F35" s="4" t="s">
        <v>15</v>
      </c>
      <c r="G35" s="4" t="s">
        <v>139</v>
      </c>
      <c r="H35" s="4" t="s">
        <v>9</v>
      </c>
      <c r="I35" s="4" t="s">
        <v>10</v>
      </c>
      <c r="J35" s="4" t="s">
        <v>18</v>
      </c>
      <c r="K35" s="4" t="s">
        <v>33</v>
      </c>
      <c r="L35" s="5"/>
    </row>
    <row r="36">
      <c r="A36" s="2" t="str">
        <f>IFERROR(__xludf.DUMMYFUNCTION("REGEXEXTRACT(G36, ""^[^都道府県]+[都道府県]"")
"),"東京都")</f>
        <v>東京都</v>
      </c>
      <c r="B36" s="4" t="str">
        <f>IFERROR(__xludf.DUMMYFUNCTION("REGEXEXTRACT(G36, ""^[^都道府県]+[都道府県]([^0-9]+?[市区町村]+)"")
"),"大田区")</f>
        <v>大田区</v>
      </c>
      <c r="C36" s="4" t="str">
        <f t="shared" si="1"/>
        <v>東京都大田区西蒲田7-29-5 ニューカマタビル</v>
      </c>
      <c r="D36" s="4" t="s">
        <v>140</v>
      </c>
      <c r="E36" s="4" t="s">
        <v>141</v>
      </c>
      <c r="F36" s="4" t="s">
        <v>142</v>
      </c>
      <c r="G36" s="4" t="s">
        <v>143</v>
      </c>
      <c r="H36" s="4" t="s">
        <v>9</v>
      </c>
      <c r="I36" s="4" t="s">
        <v>10</v>
      </c>
      <c r="J36" s="4" t="s">
        <v>11</v>
      </c>
      <c r="K36" s="4" t="s">
        <v>144</v>
      </c>
      <c r="L36" s="5"/>
    </row>
    <row r="37">
      <c r="A37" s="2" t="str">
        <f>IFERROR(__xludf.DUMMYFUNCTION("REGEXEXTRACT(G37, ""^[^都道府県]+[都道府県]"")
"),"東京都")</f>
        <v>東京都</v>
      </c>
      <c r="B37" s="4" t="str">
        <f>IFERROR(__xludf.DUMMYFUNCTION("REGEXEXTRACT(G37, ""^[^都道府県]+[都道府県]([^0-9]+?[市区町村]+)"")
"),"大田区")</f>
        <v>大田区</v>
      </c>
      <c r="C37" s="4" t="str">
        <f t="shared" si="1"/>
        <v>東京都大田区西蒲田7-7-1 グレイス蒲田</v>
      </c>
      <c r="D37" s="4" t="s">
        <v>145</v>
      </c>
      <c r="E37" s="4" t="s">
        <v>146</v>
      </c>
      <c r="F37" s="4" t="s">
        <v>7</v>
      </c>
      <c r="G37" s="4" t="s">
        <v>147</v>
      </c>
      <c r="H37" s="4" t="s">
        <v>9</v>
      </c>
      <c r="I37" s="4" t="s">
        <v>10</v>
      </c>
      <c r="J37" s="4" t="s">
        <v>18</v>
      </c>
      <c r="K37" s="6" t="s">
        <v>23</v>
      </c>
      <c r="L37" s="7"/>
    </row>
    <row r="38">
      <c r="A38" s="2" t="str">
        <f>IFERROR(__xludf.DUMMYFUNCTION("REGEXEXTRACT(G38, ""^[^都道府県]+[都道府県]"")
"),"東京都")</f>
        <v>東京都</v>
      </c>
      <c r="B38" s="4" t="str">
        <f>IFERROR(__xludf.DUMMYFUNCTION("REGEXEXTRACT(G38, ""^[^都道府県]+[都道府県]([^0-9]+?[市区町村]+)"")
"),"千代田区")</f>
        <v>千代田区</v>
      </c>
      <c r="C38" s="4" t="str">
        <f t="shared" si="1"/>
        <v>東京都千代田区神田小川町1丁目6-2 古室ビル 3階です</v>
      </c>
      <c r="D38" s="4" t="s">
        <v>148</v>
      </c>
      <c r="E38" s="4" t="s">
        <v>149</v>
      </c>
      <c r="F38" s="4" t="s">
        <v>48</v>
      </c>
      <c r="G38" s="4" t="s">
        <v>150</v>
      </c>
      <c r="H38" s="4" t="s">
        <v>58</v>
      </c>
      <c r="I38" s="4" t="s">
        <v>10</v>
      </c>
      <c r="J38" s="5"/>
      <c r="K38" s="4" t="s">
        <v>151</v>
      </c>
      <c r="L38" s="5"/>
    </row>
    <row r="39">
      <c r="A39" s="2" t="str">
        <f>IFERROR(__xludf.DUMMYFUNCTION("REGEXEXTRACT(G39, ""^[^都道府県]+[都道府県]"")
"),"東京都")</f>
        <v>東京都</v>
      </c>
      <c r="B39" s="4" t="str">
        <f>IFERROR(__xludf.DUMMYFUNCTION("REGEXEXTRACT(G39, ""^[^都道府県]+[都道府県]([^0-9]+?[市区町村]+)"")
"),"杉並区")</f>
        <v>杉並区</v>
      </c>
      <c r="C39" s="4" t="str">
        <f t="shared" si="1"/>
        <v>東京都杉並区上荻1-15-13 柴ビル 2階のエミにという店</v>
      </c>
      <c r="D39" s="4" t="s">
        <v>152</v>
      </c>
      <c r="E39" s="4" t="s">
        <v>153</v>
      </c>
      <c r="F39" s="4" t="s">
        <v>15</v>
      </c>
      <c r="G39" s="4" t="s">
        <v>154</v>
      </c>
      <c r="H39" s="4" t="s">
        <v>17</v>
      </c>
      <c r="I39" s="4" t="s">
        <v>10</v>
      </c>
      <c r="J39" s="5"/>
      <c r="K39" s="4" t="s">
        <v>151</v>
      </c>
      <c r="L39" s="5"/>
    </row>
    <row r="40">
      <c r="A40" s="2" t="str">
        <f>IFERROR(__xludf.DUMMYFUNCTION("REGEXEXTRACT(G40, ""^[^都道府県]+[都道府県]"")
"),"東京都")</f>
        <v>東京都</v>
      </c>
      <c r="B40" s="4" t="str">
        <f>IFERROR(__xludf.DUMMYFUNCTION("REGEXEXTRACT(G40, ""^[^都道府県]+[都道府県]([^0-9]+?[市区町村]+)"")
"),"杉並区")</f>
        <v>杉並区</v>
      </c>
      <c r="C40" s="4" t="str">
        <f t="shared" si="1"/>
        <v>東京都杉並区上荻1丁目11-5 ロゼリウス荻窪</v>
      </c>
      <c r="D40" s="4" t="s">
        <v>155</v>
      </c>
      <c r="E40" s="4" t="s">
        <v>156</v>
      </c>
      <c r="F40" s="4" t="s">
        <v>15</v>
      </c>
      <c r="G40" s="4" t="s">
        <v>157</v>
      </c>
      <c r="H40" s="4" t="s">
        <v>9</v>
      </c>
      <c r="I40" s="4" t="s">
        <v>44</v>
      </c>
      <c r="J40" s="4" t="s">
        <v>18</v>
      </c>
      <c r="K40" s="4" t="s">
        <v>45</v>
      </c>
      <c r="L40" s="5"/>
    </row>
    <row r="41">
      <c r="A41" s="2" t="str">
        <f>IFERROR(__xludf.DUMMYFUNCTION("REGEXEXTRACT(G41, ""^[^都道府県]+[都道府県]"")
"),"東京都")</f>
        <v>東京都</v>
      </c>
      <c r="B41" s="4" t="str">
        <f>IFERROR(__xludf.DUMMYFUNCTION("REGEXEXTRACT(G41, ""^[^都道府県]+[都道府県]([^0-9]+?[市区町村]+)"")
"),"新宿区")</f>
        <v>新宿区</v>
      </c>
      <c r="C41" s="4" t="str">
        <f t="shared" si="1"/>
        <v>東京都新宿区新宿5-18-11 谷川ビル</v>
      </c>
      <c r="D41" s="4" t="s">
        <v>158</v>
      </c>
      <c r="E41" s="4" t="s">
        <v>159</v>
      </c>
      <c r="F41" s="4" t="s">
        <v>160</v>
      </c>
      <c r="G41" s="4" t="s">
        <v>161</v>
      </c>
      <c r="H41" s="4" t="s">
        <v>9</v>
      </c>
      <c r="I41" s="4" t="s">
        <v>44</v>
      </c>
      <c r="J41" s="5"/>
      <c r="K41" s="4" t="s">
        <v>151</v>
      </c>
      <c r="L41" s="5"/>
    </row>
    <row r="42">
      <c r="A42" s="2" t="str">
        <f>IFERROR(__xludf.DUMMYFUNCTION("REGEXEXTRACT(G42, ""^[^都道府県]+[都道府県]"")
"),"東京都")</f>
        <v>東京都</v>
      </c>
      <c r="B42" s="4" t="str">
        <f>IFERROR(__xludf.DUMMYFUNCTION("REGEXEXTRACT(G42, ""^[^都道府県]+[都道府県]([^0-9]+?[市区町村]+)"")
"),"渋谷区")</f>
        <v>渋谷区</v>
      </c>
      <c r="C42" s="4" t="str">
        <f t="shared" si="1"/>
        <v>東京都渋谷区笹塚2丁目14-15 ウェルト笹塚ツイン1</v>
      </c>
      <c r="D42" s="4" t="s">
        <v>162</v>
      </c>
      <c r="E42" s="4" t="s">
        <v>163</v>
      </c>
      <c r="F42" s="4" t="s">
        <v>15</v>
      </c>
      <c r="G42" s="4" t="s">
        <v>164</v>
      </c>
      <c r="H42" s="4" t="s">
        <v>9</v>
      </c>
      <c r="I42" s="4" t="s">
        <v>10</v>
      </c>
      <c r="J42" s="4" t="s">
        <v>18</v>
      </c>
      <c r="K42" s="5"/>
      <c r="L42" s="5"/>
    </row>
    <row r="43">
      <c r="A43" s="2" t="str">
        <f>IFERROR(__xludf.DUMMYFUNCTION("REGEXEXTRACT(G43, ""^[^都道府県]+[都道府県]"")
"),"東京都")</f>
        <v>東京都</v>
      </c>
      <c r="B43" s="4" t="str">
        <f>IFERROR(__xludf.DUMMYFUNCTION("REGEXEXTRACT(G43, ""^[^都道府県]+[都道府県]([^0-9]+?[市区町村]+)"")
"),"渋谷区")</f>
        <v>渋谷区</v>
      </c>
      <c r="C43" s="4" t="str">
        <f t="shared" si="1"/>
        <v>東京都渋谷区宇田川町36-2 ノア渋谷</v>
      </c>
      <c r="D43" s="4" t="s">
        <v>165</v>
      </c>
      <c r="E43" s="4" t="s">
        <v>166</v>
      </c>
      <c r="F43" s="4" t="s">
        <v>15</v>
      </c>
      <c r="G43" s="4" t="s">
        <v>167</v>
      </c>
      <c r="H43" s="4" t="s">
        <v>168</v>
      </c>
      <c r="I43" s="4" t="s">
        <v>10</v>
      </c>
      <c r="J43" s="4" t="s">
        <v>18</v>
      </c>
      <c r="K43" s="4" t="s">
        <v>169</v>
      </c>
      <c r="L43" s="5"/>
    </row>
    <row r="44">
      <c r="A44" s="2" t="str">
        <f>IFERROR(__xludf.DUMMYFUNCTION("REGEXEXTRACT(G44, ""^[^都道府県]+[都道府県]"")
"),"東京都")</f>
        <v>東京都</v>
      </c>
      <c r="B44" s="4" t="str">
        <f>IFERROR(__xludf.DUMMYFUNCTION("REGEXEXTRACT(G44, ""^[^都道府県]+[都道府県]([^0-9]+?[市区町村]+)"")
"),"世田谷区")</f>
        <v>世田谷区</v>
      </c>
      <c r="C44" s="4" t="str">
        <f t="shared" si="1"/>
        <v>東京都世田谷区野沢2丁目34-5 Aden駒沢大学</v>
      </c>
      <c r="D44" s="4" t="s">
        <v>170</v>
      </c>
      <c r="E44" s="4" t="s">
        <v>171</v>
      </c>
      <c r="F44" s="4" t="s">
        <v>15</v>
      </c>
      <c r="G44" s="4" t="s">
        <v>172</v>
      </c>
      <c r="H44" s="4" t="s">
        <v>58</v>
      </c>
      <c r="I44" s="4" t="s">
        <v>44</v>
      </c>
      <c r="J44" s="5"/>
      <c r="K44" s="4" t="s">
        <v>45</v>
      </c>
      <c r="L44" s="5"/>
    </row>
    <row r="45">
      <c r="A45" s="2" t="str">
        <f>IFERROR(__xludf.DUMMYFUNCTION("REGEXEXTRACT(G45, ""^[^都道府県]+[都道府県]"")
"),"東京都")</f>
        <v>東京都</v>
      </c>
      <c r="B45" s="4" t="str">
        <f>IFERROR(__xludf.DUMMYFUNCTION("REGEXEXTRACT(G45, ""^[^都道府県]+[都道府県]([^0-9]+?[市区町村]+)"")
"),"立川市")</f>
        <v>立川市</v>
      </c>
      <c r="C45" s="4" t="str">
        <f t="shared" si="1"/>
        <v>東京都立川市曙町1丁目36-9 多摩セントラルビル</v>
      </c>
      <c r="D45" s="4" t="s">
        <v>173</v>
      </c>
      <c r="E45" s="4" t="s">
        <v>174</v>
      </c>
      <c r="F45" s="4" t="s">
        <v>97</v>
      </c>
      <c r="G45" s="4" t="s">
        <v>175</v>
      </c>
      <c r="H45" s="4" t="s">
        <v>9</v>
      </c>
      <c r="I45" s="4" t="s">
        <v>10</v>
      </c>
      <c r="J45" s="4" t="s">
        <v>11</v>
      </c>
      <c r="K45" s="5"/>
      <c r="L45" s="5"/>
    </row>
    <row r="46">
      <c r="A46" s="2" t="str">
        <f>IFERROR(__xludf.DUMMYFUNCTION("REGEXEXTRACT(G46, ""^[^都道府県]+[都道府県]"")
"),"東京都")</f>
        <v>東京都</v>
      </c>
      <c r="B46" s="4" t="str">
        <f>IFERROR(__xludf.DUMMYFUNCTION("REGEXEXTRACT(G46, ""^[^都道府県]+[都道府県]([^0-9]+?[市区町村]+)"")
"),"立川市")</f>
        <v>立川市</v>
      </c>
      <c r="C46" s="4" t="str">
        <f t="shared" si="1"/>
        <v>東京都立川市錦町1-5-25 コーポあきば</v>
      </c>
      <c r="D46" s="4" t="s">
        <v>176</v>
      </c>
      <c r="E46" s="4" t="s">
        <v>177</v>
      </c>
      <c r="F46" s="4" t="s">
        <v>15</v>
      </c>
      <c r="G46" s="4" t="s">
        <v>178</v>
      </c>
      <c r="H46" s="4" t="s">
        <v>9</v>
      </c>
      <c r="I46" s="4" t="s">
        <v>10</v>
      </c>
      <c r="J46" s="4" t="s">
        <v>18</v>
      </c>
      <c r="K46" s="4" t="s">
        <v>179</v>
      </c>
      <c r="L46" s="5"/>
    </row>
    <row r="47">
      <c r="A47" s="2" t="str">
        <f>IFERROR(__xludf.DUMMYFUNCTION("REGEXEXTRACT(G47, ""^[^都道府県]+[都道府県]"")
"),"東京都")</f>
        <v>東京都</v>
      </c>
      <c r="B47" s="4" t="str">
        <f>IFERROR(__xludf.DUMMYFUNCTION("REGEXEXTRACT(G47, ""^[^都道府県]+[都道府県]([^0-9]+?[市区町村]+)"")
"),"立川市")</f>
        <v>立川市</v>
      </c>
      <c r="C47" s="4" t="str">
        <f t="shared" si="1"/>
        <v>東京都立川市錦町2-2-34 安藤ビル</v>
      </c>
      <c r="D47" s="4" t="s">
        <v>180</v>
      </c>
      <c r="E47" s="4" t="s">
        <v>181</v>
      </c>
      <c r="F47" s="4" t="s">
        <v>15</v>
      </c>
      <c r="G47" s="4" t="s">
        <v>182</v>
      </c>
      <c r="H47" s="4" t="s">
        <v>9</v>
      </c>
      <c r="I47" s="4" t="s">
        <v>10</v>
      </c>
      <c r="J47" s="4" t="s">
        <v>18</v>
      </c>
      <c r="K47" s="4" t="s">
        <v>33</v>
      </c>
      <c r="L47" s="5"/>
    </row>
    <row r="48">
      <c r="A48" s="2" t="str">
        <f>IFERROR(__xludf.DUMMYFUNCTION("REGEXEXTRACT(G48, ""^[^都道府県]+[都道府県]"")
"),"東京都")</f>
        <v>東京都</v>
      </c>
      <c r="B48" s="4" t="str">
        <f>IFERROR(__xludf.DUMMYFUNCTION("REGEXEXTRACT(G48, ""^[^都道府県]+[都道府県]([^0-9]+?[市区町村]+)"")
"),"府中市")</f>
        <v>府中市</v>
      </c>
      <c r="C48" s="4" t="str">
        <f t="shared" si="1"/>
        <v>東京都府中市府中町2-5-7 ステーションビューロアール府中</v>
      </c>
      <c r="D48" s="4" t="s">
        <v>183</v>
      </c>
      <c r="E48" s="4" t="s">
        <v>184</v>
      </c>
      <c r="F48" s="4" t="s">
        <v>48</v>
      </c>
      <c r="G48" s="4" t="s">
        <v>185</v>
      </c>
      <c r="H48" s="4" t="s">
        <v>9</v>
      </c>
      <c r="I48" s="4" t="s">
        <v>10</v>
      </c>
      <c r="J48" s="4" t="s">
        <v>11</v>
      </c>
      <c r="K48" s="5"/>
      <c r="L48" s="5"/>
    </row>
    <row r="49">
      <c r="A49" s="2" t="str">
        <f>IFERROR(__xludf.DUMMYFUNCTION("REGEXEXTRACT(G49, ""^[^都道府県]+[都道府県]"")
"),"東京都")</f>
        <v>東京都</v>
      </c>
      <c r="B49" s="4" t="str">
        <f>IFERROR(__xludf.DUMMYFUNCTION("REGEXEXTRACT(G49, ""^[^都道府県]+[都道府県]([^0-9]+?[市区町村]+)"")
"),"町田市")</f>
        <v>町田市</v>
      </c>
      <c r="C49" s="4" t="str">
        <f t="shared" si="1"/>
        <v>東京都町田市原町田6-16-7 アーバイルトルム町田</v>
      </c>
      <c r="D49" s="4" t="s">
        <v>186</v>
      </c>
      <c r="E49" s="4" t="s">
        <v>187</v>
      </c>
      <c r="F49" s="4" t="s">
        <v>15</v>
      </c>
      <c r="G49" s="4" t="s">
        <v>188</v>
      </c>
      <c r="H49" s="4" t="s">
        <v>9</v>
      </c>
      <c r="I49" s="4" t="s">
        <v>10</v>
      </c>
      <c r="J49" s="4" t="s">
        <v>18</v>
      </c>
      <c r="K49" s="4" t="s">
        <v>33</v>
      </c>
      <c r="L49" s="5"/>
    </row>
    <row r="50">
      <c r="A50" s="2" t="str">
        <f>IFERROR(__xludf.DUMMYFUNCTION("REGEXEXTRACT(G50, ""^[^都道府県]+[都道府県]"")
"),"東京都")</f>
        <v>東京都</v>
      </c>
      <c r="B50" s="4" t="str">
        <f>IFERROR(__xludf.DUMMYFUNCTION("REGEXEXTRACT(G50, ""^[^都道府県]+[都道府県]([^0-9]+?[市区町村]+)"")
"),"町田市")</f>
        <v>町田市</v>
      </c>
      <c r="C50" s="4" t="str">
        <f t="shared" si="1"/>
        <v>東京都町田市原町田6丁目16-7 アーバイルトルム町田</v>
      </c>
      <c r="D50" s="4" t="s">
        <v>189</v>
      </c>
      <c r="E50" s="4" t="s">
        <v>190</v>
      </c>
      <c r="F50" s="4" t="s">
        <v>48</v>
      </c>
      <c r="G50" s="4" t="s">
        <v>191</v>
      </c>
      <c r="H50" s="4" t="s">
        <v>9</v>
      </c>
      <c r="I50" s="4" t="s">
        <v>10</v>
      </c>
      <c r="J50" s="4" t="s">
        <v>18</v>
      </c>
      <c r="K50" s="4" t="s">
        <v>33</v>
      </c>
      <c r="L50" s="5"/>
    </row>
    <row r="51">
      <c r="A51" s="2" t="str">
        <f>IFERROR(__xludf.DUMMYFUNCTION("REGEXEXTRACT(G51, ""^[^都道府県]+[都道府県]"")
"),"東京都")</f>
        <v>東京都</v>
      </c>
      <c r="B51" s="4" t="str">
        <f>IFERROR(__xludf.DUMMYFUNCTION("REGEXEXTRACT(G51, ""^[^都道府県]+[都道府県]([^0-9]+?[市区町村]+)"")
"),"東村")</f>
        <v>東村</v>
      </c>
      <c r="C51" s="4" t="str">
        <f t="shared" si="1"/>
        <v>東京都東村山市栄町2-2-10 Tokio久米川タワー</v>
      </c>
      <c r="D51" s="4" t="s">
        <v>192</v>
      </c>
      <c r="E51" s="4" t="s">
        <v>193</v>
      </c>
      <c r="F51" s="4" t="s">
        <v>7</v>
      </c>
      <c r="G51" s="4" t="s">
        <v>194</v>
      </c>
      <c r="H51" s="4" t="s">
        <v>9</v>
      </c>
      <c r="I51" s="4" t="s">
        <v>10</v>
      </c>
      <c r="J51" s="4" t="s">
        <v>11</v>
      </c>
      <c r="K51" s="4" t="s">
        <v>12</v>
      </c>
      <c r="L51" s="5"/>
    </row>
    <row r="52">
      <c r="A52" s="2" t="str">
        <f>IFERROR(__xludf.DUMMYFUNCTION("REGEXEXTRACT(G52, ""^[^都道府県]+[都道府県]"")
"),"東京都")</f>
        <v>東京都</v>
      </c>
      <c r="B52" s="4" t="str">
        <f>IFERROR(__xludf.DUMMYFUNCTION("REGEXEXTRACT(G52, ""^[^都道府県]+[都道府県]([^0-9]+?[市区町村]+)"")
"),"武蔵野市")</f>
        <v>武蔵野市</v>
      </c>
      <c r="C52" s="4" t="str">
        <f t="shared" si="1"/>
        <v>東京都武蔵野市吉祥寺本町2-24-6 吉祥寺グリーンハイツ</v>
      </c>
      <c r="D52" s="4" t="s">
        <v>195</v>
      </c>
      <c r="E52" s="4" t="s">
        <v>196</v>
      </c>
      <c r="F52" s="4" t="s">
        <v>15</v>
      </c>
      <c r="G52" s="4" t="s">
        <v>197</v>
      </c>
      <c r="H52" s="4" t="s">
        <v>17</v>
      </c>
      <c r="I52" s="4" t="s">
        <v>10</v>
      </c>
      <c r="J52" s="5"/>
      <c r="K52" s="5"/>
      <c r="L52" s="5"/>
    </row>
    <row r="53">
      <c r="A53" s="2" t="str">
        <f>IFERROR(__xludf.DUMMYFUNCTION("REGEXEXTRACT(G53, ""^[^都道府県]+[都道府県]"")
"),"東京都")</f>
        <v>東京都</v>
      </c>
      <c r="B53" s="4" t="str">
        <f>IFERROR(__xludf.DUMMYFUNCTION("REGEXEXTRACT(G53, ""^[^都道府県]+[都道府県]([^0-9]+?[市区町村]+)"")
"),"小金井市")</f>
        <v>小金井市</v>
      </c>
      <c r="C53" s="4" t="str">
        <f t="shared" si="1"/>
        <v>東京都小金井市東町1-40-11 ロイヤルハイツハシモト</v>
      </c>
      <c r="D53" s="4" t="s">
        <v>198</v>
      </c>
      <c r="E53" s="4" t="s">
        <v>199</v>
      </c>
      <c r="F53" s="4" t="s">
        <v>36</v>
      </c>
      <c r="G53" s="4" t="s">
        <v>200</v>
      </c>
      <c r="H53" s="4" t="s">
        <v>168</v>
      </c>
      <c r="I53" s="4" t="s">
        <v>10</v>
      </c>
      <c r="J53" s="4" t="s">
        <v>18</v>
      </c>
      <c r="K53" s="4" t="s">
        <v>201</v>
      </c>
      <c r="L53" s="5"/>
    </row>
    <row r="54">
      <c r="A54" s="2" t="str">
        <f>IFERROR(__xludf.DUMMYFUNCTION("REGEXEXTRACT(G54, ""^[^都道府県]+[都道府県]"")
"),"東京都")</f>
        <v>東京都</v>
      </c>
      <c r="B54" s="4" t="str">
        <f>IFERROR(__xludf.DUMMYFUNCTION("REGEXEXTRACT(G54, ""^[^都道府県]+[都道府県]([^0-9]+?[市区町村]+)"")
"),"東久留米市")</f>
        <v>東久留米市</v>
      </c>
      <c r="C54" s="4" t="str">
        <f t="shared" si="1"/>
        <v>東京都東久留米市東本町6-18 第四荒野ビル</v>
      </c>
      <c r="D54" s="4" t="s">
        <v>202</v>
      </c>
      <c r="E54" s="4" t="s">
        <v>203</v>
      </c>
      <c r="F54" s="4" t="s">
        <v>15</v>
      </c>
      <c r="G54" s="4" t="s">
        <v>204</v>
      </c>
      <c r="H54" s="4" t="s">
        <v>9</v>
      </c>
      <c r="I54" s="4" t="s">
        <v>10</v>
      </c>
      <c r="J54" s="5"/>
      <c r="K54" s="5"/>
      <c r="L54" s="5"/>
    </row>
    <row r="55">
      <c r="A55" s="2" t="str">
        <f>IFERROR(__xludf.DUMMYFUNCTION("REGEXEXTRACT(G55, ""^[^都道府県]+[都道府県]"")
"),"東京都")</f>
        <v>東京都</v>
      </c>
      <c r="B55" s="4" t="str">
        <f>IFERROR(__xludf.DUMMYFUNCTION("REGEXEXTRACT(G55, ""^[^都道府県]+[都道府県]([^0-9]+?[市区町村]+)"")
"),"西東京市")</f>
        <v>西東京市</v>
      </c>
      <c r="C55" s="4" t="str">
        <f t="shared" si="1"/>
        <v>東京都西東京市田無町2丁目12-11 ハイツベルスプリング</v>
      </c>
      <c r="D55" s="4" t="s">
        <v>205</v>
      </c>
      <c r="E55" s="4" t="s">
        <v>206</v>
      </c>
      <c r="F55" s="4" t="s">
        <v>15</v>
      </c>
      <c r="G55" s="4" t="s">
        <v>207</v>
      </c>
      <c r="H55" s="4" t="s">
        <v>9</v>
      </c>
      <c r="I55" s="4" t="s">
        <v>10</v>
      </c>
      <c r="J55" s="4" t="s">
        <v>18</v>
      </c>
      <c r="K55" s="5"/>
      <c r="L55" s="5"/>
    </row>
    <row r="56">
      <c r="A56" s="2" t="str">
        <f>IFERROR(__xludf.DUMMYFUNCTION("REGEXEXTRACT(G56, ""^[^都道府県]+[都道府県]"")
"),"千葉県")</f>
        <v>千葉県</v>
      </c>
      <c r="B56" s="4" t="str">
        <f>IFERROR(__xludf.DUMMYFUNCTION("REGEXEXTRACT(G56, ""^[^都道府県]+[都道府県]([^0-9]+?[市区町村]+)"")
"),"柏市")</f>
        <v>柏市</v>
      </c>
      <c r="C56" s="4" t="str">
        <f t="shared" si="1"/>
        <v>千葉県柏市千代田3-1-14 脇田マンション</v>
      </c>
      <c r="D56" s="4" t="s">
        <v>208</v>
      </c>
      <c r="E56" s="4" t="s">
        <v>209</v>
      </c>
      <c r="F56" s="4" t="s">
        <v>85</v>
      </c>
      <c r="G56" s="4" t="s">
        <v>210</v>
      </c>
      <c r="H56" s="4" t="s">
        <v>9</v>
      </c>
      <c r="I56" s="4" t="s">
        <v>10</v>
      </c>
      <c r="J56" s="5"/>
      <c r="K56" s="4" t="s">
        <v>211</v>
      </c>
      <c r="L56" s="5"/>
    </row>
    <row r="57">
      <c r="A57" s="2" t="str">
        <f>IFERROR(__xludf.DUMMYFUNCTION("REGEXEXTRACT(G57, ""^[^都道府県]+[都道府県]"")
"),"千葉県")</f>
        <v>千葉県</v>
      </c>
      <c r="B57" s="4" t="str">
        <f>IFERROR(__xludf.DUMMYFUNCTION("REGEXEXTRACT(G57, ""^[^都道府県]+[都道府県]([^0-9]+?[市区町村]+)"")
"),"柏市")</f>
        <v>柏市</v>
      </c>
      <c r="C57" s="4" t="str">
        <f t="shared" si="1"/>
        <v>千葉県柏市根戸1914-12 エソール・柏</v>
      </c>
      <c r="D57" s="4" t="s">
        <v>212</v>
      </c>
      <c r="E57" s="4" t="s">
        <v>213</v>
      </c>
      <c r="F57" s="4" t="s">
        <v>48</v>
      </c>
      <c r="G57" s="4" t="s">
        <v>214</v>
      </c>
      <c r="H57" s="4" t="s">
        <v>168</v>
      </c>
      <c r="I57" s="4" t="s">
        <v>44</v>
      </c>
      <c r="J57" s="4" t="s">
        <v>18</v>
      </c>
      <c r="K57" s="5"/>
      <c r="L57" s="5"/>
    </row>
    <row r="58">
      <c r="A58" s="2" t="str">
        <f>IFERROR(__xludf.DUMMYFUNCTION("REGEXEXTRACT(G58, ""^[^都道府県]+[都道府県]"")
"),"千葉県")</f>
        <v>千葉県</v>
      </c>
      <c r="B58" s="4" t="str">
        <f>IFERROR(__xludf.DUMMYFUNCTION("REGEXEXTRACT(G58, ""^[^都道府県]+[都道府県]([^0-9]+?[市区町村]+)"")
"),"千葉市")</f>
        <v>千葉市</v>
      </c>
      <c r="C58" s="4" t="str">
        <f t="shared" si="1"/>
        <v>千葉県千葉市中央区新宿2-14-16 パ―クプラザ千葉新宿</v>
      </c>
      <c r="D58" s="4" t="s">
        <v>215</v>
      </c>
      <c r="E58" s="4" t="s">
        <v>216</v>
      </c>
      <c r="F58" s="4" t="s">
        <v>160</v>
      </c>
      <c r="G58" s="4" t="s">
        <v>217</v>
      </c>
      <c r="H58" s="4" t="s">
        <v>9</v>
      </c>
      <c r="I58" s="4" t="s">
        <v>10</v>
      </c>
      <c r="J58" s="4" t="s">
        <v>11</v>
      </c>
      <c r="K58" s="4" t="s">
        <v>144</v>
      </c>
      <c r="L58" s="5"/>
    </row>
    <row r="59">
      <c r="A59" s="2" t="str">
        <f>IFERROR(__xludf.DUMMYFUNCTION("REGEXEXTRACT(G59, ""^[^都道府県]+[都道府県]"")
"),"千葉県")</f>
        <v>千葉県</v>
      </c>
      <c r="B59" s="4" t="str">
        <f>IFERROR(__xludf.DUMMYFUNCTION("REGEXEXTRACT(G59, ""^[^都道府県]+[都道府県]([^0-9]+?[市区町村]+)"")
"),"千葉市")</f>
        <v>千葉市</v>
      </c>
      <c r="C59" s="4" t="str">
        <f t="shared" si="1"/>
        <v>千葉県千葉市稲毛区稲毛東3-20-11 イーストビル</v>
      </c>
      <c r="D59" s="4" t="s">
        <v>218</v>
      </c>
      <c r="E59" s="4" t="s">
        <v>219</v>
      </c>
      <c r="F59" s="4" t="s">
        <v>48</v>
      </c>
      <c r="G59" s="4" t="s">
        <v>220</v>
      </c>
      <c r="H59" s="4" t="s">
        <v>9</v>
      </c>
      <c r="I59" s="4" t="s">
        <v>10</v>
      </c>
      <c r="J59" s="4" t="s">
        <v>11</v>
      </c>
      <c r="K59" s="4" t="s">
        <v>144</v>
      </c>
      <c r="L59" s="5"/>
    </row>
    <row r="60">
      <c r="A60" s="2" t="str">
        <f>IFERROR(__xludf.DUMMYFUNCTION("REGEXEXTRACT(G60, ""^[^都道府県]+[都道府県]"")
"),"千葉県")</f>
        <v>千葉県</v>
      </c>
      <c r="B60" s="4" t="str">
        <f>IFERROR(__xludf.DUMMYFUNCTION("REGEXEXTRACT(G60, ""^[^都道府県]+[都道府県]([^0-9]+?[市区町村]+)"")
"),"千葉市")</f>
        <v>千葉市</v>
      </c>
      <c r="C60" s="4" t="str">
        <f t="shared" si="1"/>
        <v>千葉県千葉市中央区今井2-12-13 蘇我第2マンション</v>
      </c>
      <c r="D60" s="4" t="s">
        <v>221</v>
      </c>
      <c r="E60" s="4" t="s">
        <v>222</v>
      </c>
      <c r="F60" s="4" t="s">
        <v>101</v>
      </c>
      <c r="G60" s="4" t="s">
        <v>223</v>
      </c>
      <c r="H60" s="4" t="s">
        <v>9</v>
      </c>
      <c r="I60" s="4" t="s">
        <v>10</v>
      </c>
      <c r="J60" s="4" t="s">
        <v>11</v>
      </c>
      <c r="K60" s="4" t="s">
        <v>144</v>
      </c>
      <c r="L60" s="5"/>
    </row>
    <row r="61">
      <c r="A61" s="2" t="str">
        <f>IFERROR(__xludf.DUMMYFUNCTION("REGEXEXTRACT(G61, ""^[^都道府県]+[都道府県]"")
"),"千葉県")</f>
        <v>千葉県</v>
      </c>
      <c r="B61" s="4" t="str">
        <f>IFERROR(__xludf.DUMMYFUNCTION("REGEXEXTRACT(G61, ""^[^都道府県]+[都道府県]([^0-9]+?[市区町村]+)"")
"),"千葉市")</f>
        <v>千葉市</v>
      </c>
      <c r="C61" s="4" t="str">
        <f t="shared" si="1"/>
        <v>千葉県千葉市中央区南町2-18-16 カリンビル</v>
      </c>
      <c r="D61" s="4" t="s">
        <v>224</v>
      </c>
      <c r="E61" s="4" t="s">
        <v>225</v>
      </c>
      <c r="F61" s="4" t="s">
        <v>226</v>
      </c>
      <c r="G61" s="4" t="s">
        <v>227</v>
      </c>
      <c r="H61" s="4" t="s">
        <v>58</v>
      </c>
      <c r="I61" s="4" t="s">
        <v>44</v>
      </c>
      <c r="J61" s="4" t="s">
        <v>11</v>
      </c>
      <c r="K61" s="5"/>
      <c r="L61" s="5"/>
    </row>
    <row r="62">
      <c r="A62" s="2" t="str">
        <f>IFERROR(__xludf.DUMMYFUNCTION("REGEXEXTRACT(G62, ""^[^都道府県]+[都道府県]"")
"),"千葉県")</f>
        <v>千葉県</v>
      </c>
      <c r="B62" s="4" t="str">
        <f>IFERROR(__xludf.DUMMYFUNCTION("REGEXEXTRACT(G62, ""^[^都道府県]+[都道府県]([^0-9]+?[市区町村]+)"")
"),"船橋市")</f>
        <v>船橋市</v>
      </c>
      <c r="C62" s="4" t="str">
        <f t="shared" si="1"/>
        <v>千葉県船橋市西船4丁目8-15 サンウイング西船</v>
      </c>
      <c r="D62" s="10" t="s">
        <v>228</v>
      </c>
      <c r="E62" s="10" t="s">
        <v>229</v>
      </c>
      <c r="F62" s="10" t="s">
        <v>15</v>
      </c>
      <c r="G62" s="10" t="s">
        <v>230</v>
      </c>
      <c r="H62" s="10" t="s">
        <v>9</v>
      </c>
      <c r="I62" s="10" t="s">
        <v>10</v>
      </c>
      <c r="J62" s="10" t="s">
        <v>18</v>
      </c>
      <c r="K62" s="11" t="s">
        <v>71</v>
      </c>
      <c r="L62" s="7"/>
    </row>
    <row r="63">
      <c r="A63" s="2" t="str">
        <f>IFERROR(__xludf.DUMMYFUNCTION("REGEXEXTRACT(G63, ""^[^都道府県]+[都道府県]"")
"),"千葉県")</f>
        <v>千葉県</v>
      </c>
      <c r="B63" s="4" t="str">
        <f>IFERROR(__xludf.DUMMYFUNCTION("REGEXEXTRACT(G63, ""^[^都道府県]+[都道府県]([^0-9]+?[市区町村]+)"")
"),"船橋市")</f>
        <v>船橋市</v>
      </c>
      <c r="C63" s="4" t="str">
        <f t="shared" si="1"/>
        <v>千葉県船橋市印内町612 プルミエール西船</v>
      </c>
      <c r="D63" s="4" t="s">
        <v>231</v>
      </c>
      <c r="E63" s="4" t="s">
        <v>232</v>
      </c>
      <c r="F63" s="4" t="s">
        <v>101</v>
      </c>
      <c r="G63" s="4" t="s">
        <v>233</v>
      </c>
      <c r="H63" s="4" t="s">
        <v>9</v>
      </c>
      <c r="I63" s="4" t="s">
        <v>10</v>
      </c>
      <c r="J63" s="4" t="s">
        <v>11</v>
      </c>
      <c r="K63" s="4" t="s">
        <v>144</v>
      </c>
      <c r="L63" s="5"/>
    </row>
    <row r="64">
      <c r="A64" s="2" t="str">
        <f>IFERROR(__xludf.DUMMYFUNCTION("REGEXEXTRACT(G64, ""^[^都道府県]+[都道府県]"")
"),"千葉県")</f>
        <v>千葉県</v>
      </c>
      <c r="B64" s="4" t="str">
        <f>IFERROR(__xludf.DUMMYFUNCTION("REGEXEXTRACT(G64, ""^[^都道府県]+[都道府県]([^0-9]+?[市区町村]+)"")
"),"船橋市")</f>
        <v>船橋市</v>
      </c>
      <c r="C64" s="4" t="str">
        <f t="shared" si="1"/>
        <v>千葉県船橋市印内町570-1 鎌倉ビル</v>
      </c>
      <c r="D64" s="4" t="s">
        <v>234</v>
      </c>
      <c r="E64" s="4" t="s">
        <v>235</v>
      </c>
      <c r="F64" s="4" t="s">
        <v>15</v>
      </c>
      <c r="G64" s="4" t="s">
        <v>236</v>
      </c>
      <c r="H64" s="4" t="s">
        <v>9</v>
      </c>
      <c r="I64" s="4" t="s">
        <v>10</v>
      </c>
      <c r="J64" s="5"/>
      <c r="K64" s="4" t="s">
        <v>237</v>
      </c>
      <c r="L64" s="5"/>
    </row>
    <row r="65">
      <c r="A65" s="2" t="str">
        <f>IFERROR(__xludf.DUMMYFUNCTION("REGEXEXTRACT(G65, ""^[^都道府県]+[都道府県]"")
"),"千葉県")</f>
        <v>千葉県</v>
      </c>
      <c r="B65" s="4" t="str">
        <f>IFERROR(__xludf.DUMMYFUNCTION("REGEXEXTRACT(G65, ""^[^都道府県]+[都道府県]([^0-9]+?[市区町村]+)"")
"),"船橋市")</f>
        <v>船橋市</v>
      </c>
      <c r="C65" s="4" t="str">
        <f t="shared" si="1"/>
        <v>千葉県船橋市本町6丁目18-19 第3山中ビル</v>
      </c>
      <c r="D65" s="4" t="s">
        <v>238</v>
      </c>
      <c r="E65" s="4" t="s">
        <v>239</v>
      </c>
      <c r="F65" s="4" t="s">
        <v>15</v>
      </c>
      <c r="G65" s="4" t="s">
        <v>240</v>
      </c>
      <c r="H65" s="4" t="s">
        <v>17</v>
      </c>
      <c r="I65" s="4" t="s">
        <v>44</v>
      </c>
      <c r="J65" s="4" t="s">
        <v>18</v>
      </c>
      <c r="K65" s="5"/>
      <c r="L65" s="5"/>
    </row>
    <row r="66">
      <c r="A66" s="2" t="str">
        <f>IFERROR(__xludf.DUMMYFUNCTION("REGEXEXTRACT(G66, ""^[^都道府県]+[都道府県]"")
"),"千葉県")</f>
        <v>千葉県</v>
      </c>
      <c r="B66" s="4" t="str">
        <f>IFERROR(__xludf.DUMMYFUNCTION("REGEXEXTRACT(G66, ""^[^都道府県]+[都道府県]([^0-9]+?[市区町村]+)"")
"),"船橋市")</f>
        <v>船橋市</v>
      </c>
      <c r="C66" s="4" t="str">
        <f t="shared" si="1"/>
        <v>千葉県船橋市本町6-9-6 ラプラビ船橋</v>
      </c>
      <c r="D66" s="4" t="s">
        <v>241</v>
      </c>
      <c r="E66" s="4" t="s">
        <v>242</v>
      </c>
      <c r="F66" s="4" t="s">
        <v>243</v>
      </c>
      <c r="G66" s="4" t="s">
        <v>244</v>
      </c>
      <c r="H66" s="4" t="s">
        <v>17</v>
      </c>
      <c r="I66" s="5"/>
      <c r="J66" s="5"/>
      <c r="K66" s="4" t="s">
        <v>245</v>
      </c>
      <c r="L66" s="5"/>
    </row>
    <row r="67">
      <c r="A67" s="2" t="str">
        <f>IFERROR(__xludf.DUMMYFUNCTION("REGEXEXTRACT(G67, ""^[^都道府県]+[都道府県]"")
"),"千葉県")</f>
        <v>千葉県</v>
      </c>
      <c r="B67" s="4" t="str">
        <f>IFERROR(__xludf.DUMMYFUNCTION("REGEXEXTRACT(G67, ""^[^都道府県]+[都道府県]([^0-9]+?[市区町村]+)"")
"),"船橋市")</f>
        <v>船橋市</v>
      </c>
      <c r="C67" s="4" t="str">
        <f t="shared" si="1"/>
        <v>千葉県船橋市本町6-3-10 グリーンシティーときた</v>
      </c>
      <c r="D67" s="4" t="s">
        <v>246</v>
      </c>
      <c r="E67" s="4" t="s">
        <v>247</v>
      </c>
      <c r="F67" s="4" t="s">
        <v>101</v>
      </c>
      <c r="G67" s="4" t="s">
        <v>248</v>
      </c>
      <c r="H67" s="4" t="s">
        <v>9</v>
      </c>
      <c r="I67" s="5"/>
      <c r="J67" s="5"/>
      <c r="K67" s="5"/>
      <c r="L67" s="5"/>
    </row>
    <row r="68">
      <c r="A68" s="2" t="str">
        <f>IFERROR(__xludf.DUMMYFUNCTION("REGEXEXTRACT(G68, ""^[^都道府県]+[都道府県]"")
"),"千葉県")</f>
        <v>千葉県</v>
      </c>
      <c r="B68" s="4" t="str">
        <f>IFERROR(__xludf.DUMMYFUNCTION("REGEXEXTRACT(G68, ""^[^都道府県]+[都道府県]([^0-9]+?[市区町村]+)"")
"),"船橋市")</f>
        <v>船橋市</v>
      </c>
      <c r="C68" s="4" t="str">
        <f t="shared" si="1"/>
        <v>千葉県船橋市前原西2-13-26 ソフィア・コート津田沼</v>
      </c>
      <c r="D68" s="4" t="s">
        <v>249</v>
      </c>
      <c r="E68" s="4" t="s">
        <v>250</v>
      </c>
      <c r="F68" s="4" t="s">
        <v>15</v>
      </c>
      <c r="G68" s="4" t="s">
        <v>251</v>
      </c>
      <c r="H68" s="4" t="s">
        <v>17</v>
      </c>
      <c r="I68" s="4" t="s">
        <v>10</v>
      </c>
      <c r="J68" s="4" t="s">
        <v>11</v>
      </c>
      <c r="K68" s="4" t="s">
        <v>12</v>
      </c>
      <c r="L68" s="5"/>
    </row>
    <row r="69">
      <c r="A69" s="2" t="str">
        <f>IFERROR(__xludf.DUMMYFUNCTION("REGEXEXTRACT(G69, ""^[^都道府県]+[都道府県]"")
"),"千葉県")</f>
        <v>千葉県</v>
      </c>
      <c r="B69" s="4" t="str">
        <f>IFERROR(__xludf.DUMMYFUNCTION("REGEXEXTRACT(G69, ""^[^都道府県]+[都道府県]([^0-9]+?[市区町村]+)"")
"),"習志野市")</f>
        <v>習志野市</v>
      </c>
      <c r="C69" s="4" t="str">
        <f t="shared" si="1"/>
        <v>千葉県習志野市谷津7丁目7-22 スーペリア津田沼</v>
      </c>
      <c r="D69" s="4" t="s">
        <v>252</v>
      </c>
      <c r="E69" s="4" t="s">
        <v>253</v>
      </c>
      <c r="F69" s="4" t="s">
        <v>48</v>
      </c>
      <c r="G69" s="4" t="s">
        <v>254</v>
      </c>
      <c r="H69" s="4" t="s">
        <v>9</v>
      </c>
      <c r="I69" s="4" t="s">
        <v>44</v>
      </c>
      <c r="J69" s="4" t="s">
        <v>18</v>
      </c>
      <c r="K69" s="4" t="s">
        <v>255</v>
      </c>
      <c r="L69" s="5"/>
    </row>
    <row r="70">
      <c r="A70" s="2" t="str">
        <f>IFERROR(__xludf.DUMMYFUNCTION("REGEXEXTRACT(G70, ""^[^都道府県]+[都道府県]"")
"),"千葉県")</f>
        <v>千葉県</v>
      </c>
      <c r="B70" s="4" t="str">
        <f>IFERROR(__xludf.DUMMYFUNCTION("REGEXEXTRACT(G70, ""^[^都道府県]+[都道府県]([^0-9]+?[市区町村]+)"")
"),"八千代市")</f>
        <v>八千代市</v>
      </c>
      <c r="C70" s="4" t="str">
        <f t="shared" si="1"/>
        <v>千葉県八千代市勝田台1丁目30 京成サンコーポ勝田台C棟 3番階段</v>
      </c>
      <c r="D70" s="4" t="s">
        <v>256</v>
      </c>
      <c r="E70" s="4" t="s">
        <v>257</v>
      </c>
      <c r="F70" s="4" t="s">
        <v>101</v>
      </c>
      <c r="G70" s="4" t="s">
        <v>258</v>
      </c>
      <c r="H70" s="4" t="s">
        <v>94</v>
      </c>
      <c r="I70" s="4" t="s">
        <v>10</v>
      </c>
      <c r="J70" s="5"/>
      <c r="K70" s="5"/>
      <c r="L70" s="5"/>
    </row>
    <row r="71">
      <c r="A71" s="2" t="str">
        <f>IFERROR(__xludf.DUMMYFUNCTION("REGEXEXTRACT(G71, ""^[^都道府県]+[都道府県]"")
"),"千葉県")</f>
        <v>千葉県</v>
      </c>
      <c r="B71" s="4" t="str">
        <f>IFERROR(__xludf.DUMMYFUNCTION("REGEXEXTRACT(G71, ""^[^都道府県]+[都道府県]([^0-9]+?[市区町村]+)"")
"),"八千代市")</f>
        <v>八千代市</v>
      </c>
      <c r="C71" s="4" t="str">
        <f t="shared" si="1"/>
        <v>千葉県八千代市勝田台北1-19-43 玄気道ビル第七 3階の店</v>
      </c>
      <c r="D71" s="4" t="s">
        <v>259</v>
      </c>
      <c r="E71" s="4" t="s">
        <v>260</v>
      </c>
      <c r="F71" s="4" t="s">
        <v>15</v>
      </c>
      <c r="G71" s="4" t="s">
        <v>261</v>
      </c>
      <c r="H71" s="4" t="s">
        <v>9</v>
      </c>
      <c r="I71" s="4" t="s">
        <v>10</v>
      </c>
      <c r="J71" s="4" t="s">
        <v>11</v>
      </c>
      <c r="K71" s="4" t="s">
        <v>262</v>
      </c>
      <c r="L71" s="5"/>
    </row>
    <row r="72">
      <c r="A72" s="2" t="str">
        <f>IFERROR(__xludf.DUMMYFUNCTION("REGEXEXTRACT(G72, ""^[^都道府県]+[都道府県]"")
"),"千葉県")</f>
        <v>千葉県</v>
      </c>
      <c r="B72" s="4" t="str">
        <f>IFERROR(__xludf.DUMMYFUNCTION("REGEXEXTRACT(G72, ""^[^都道府県]+[都道府県]([^0-9]+?[市区町村]+)"")
"),"八千代市")</f>
        <v>八千代市</v>
      </c>
      <c r="C72" s="4" t="str">
        <f t="shared" si="1"/>
        <v>千葉県八千代市八千代台南1丁目4-10 グレイス八千代台</v>
      </c>
      <c r="D72" s="4" t="s">
        <v>263</v>
      </c>
      <c r="E72" s="4" t="s">
        <v>264</v>
      </c>
      <c r="F72" s="4" t="s">
        <v>15</v>
      </c>
      <c r="G72" s="4" t="s">
        <v>265</v>
      </c>
      <c r="H72" s="4" t="s">
        <v>17</v>
      </c>
      <c r="I72" s="4" t="s">
        <v>44</v>
      </c>
      <c r="J72" s="4" t="s">
        <v>18</v>
      </c>
      <c r="K72" s="5"/>
      <c r="L72" s="5"/>
    </row>
    <row r="73">
      <c r="A73" s="2" t="str">
        <f>IFERROR(__xludf.DUMMYFUNCTION("REGEXEXTRACT(G73, ""^[^都道府県]+[都道府県]"")
"),"千葉県")</f>
        <v>千葉県</v>
      </c>
      <c r="B73" s="4" t="str">
        <f>IFERROR(__xludf.DUMMYFUNCTION("REGEXEXTRACT(G73, ""^[^都道府県]+[都道府県]([^0-9]+?[市区町村]+)"")
"),"八千代市")</f>
        <v>八千代市</v>
      </c>
      <c r="C73" s="4" t="str">
        <f t="shared" si="1"/>
        <v>千葉県八千代市勝田台1丁目30 京成サンコーポ勝田台C棟</v>
      </c>
      <c r="D73" s="4" t="s">
        <v>266</v>
      </c>
      <c r="E73" s="4" t="s">
        <v>267</v>
      </c>
      <c r="F73" s="4" t="s">
        <v>97</v>
      </c>
      <c r="G73" s="4" t="s">
        <v>268</v>
      </c>
      <c r="H73" s="4" t="s">
        <v>17</v>
      </c>
      <c r="I73" s="4" t="s">
        <v>44</v>
      </c>
      <c r="J73" s="4" t="s">
        <v>18</v>
      </c>
      <c r="K73" s="5"/>
      <c r="L73" s="5"/>
    </row>
    <row r="74">
      <c r="A74" s="2" t="str">
        <f>IFERROR(__xludf.DUMMYFUNCTION("REGEXEXTRACT(G74, ""^[^都道府県]+[都道府県]"")
"),"千葉県")</f>
        <v>千葉県</v>
      </c>
      <c r="B74" s="4" t="str">
        <f>IFERROR(__xludf.DUMMYFUNCTION("REGEXEXTRACT(G74, ""^[^都道府県]+[都道府県]([^0-9]+?[市区町村]+)"")
"),"市川市")</f>
        <v>市川市</v>
      </c>
      <c r="C74" s="4" t="str">
        <f t="shared" si="1"/>
        <v>千葉県市川市南八幡4-4-20 市川ルーフガーデンハイツ</v>
      </c>
      <c r="D74" s="4" t="s">
        <v>269</v>
      </c>
      <c r="E74" s="4" t="s">
        <v>270</v>
      </c>
      <c r="F74" s="4" t="s">
        <v>271</v>
      </c>
      <c r="G74" s="4" t="s">
        <v>272</v>
      </c>
      <c r="H74" s="4" t="s">
        <v>9</v>
      </c>
      <c r="I74" s="4" t="s">
        <v>10</v>
      </c>
      <c r="J74" s="4" t="s">
        <v>11</v>
      </c>
      <c r="K74" s="4" t="s">
        <v>144</v>
      </c>
      <c r="L74" s="5"/>
    </row>
    <row r="75">
      <c r="A75" s="2" t="str">
        <f>IFERROR(__xludf.DUMMYFUNCTION("REGEXEXTRACT(G75, ""^[^都道府県]+[都道府県]"")
"),"千葉県")</f>
        <v>千葉県</v>
      </c>
      <c r="B75" s="4" t="str">
        <f>IFERROR(__xludf.DUMMYFUNCTION("REGEXEXTRACT(G75, ""^[^都道府県]+[都道府県]([^0-9]+?[市区町村]+)"")
"),"市川市")</f>
        <v>市川市</v>
      </c>
      <c r="C75" s="4" t="str">
        <f t="shared" si="1"/>
        <v>千葉県市川市行徳駅前2-7-1 遠藤ビル</v>
      </c>
      <c r="D75" s="4" t="s">
        <v>273</v>
      </c>
      <c r="E75" s="4" t="s">
        <v>274</v>
      </c>
      <c r="F75" s="4" t="s">
        <v>142</v>
      </c>
      <c r="G75" s="4" t="s">
        <v>275</v>
      </c>
      <c r="H75" s="4" t="s">
        <v>9</v>
      </c>
      <c r="I75" s="4" t="s">
        <v>10</v>
      </c>
      <c r="J75" s="4" t="s">
        <v>11</v>
      </c>
      <c r="K75" s="4" t="s">
        <v>144</v>
      </c>
      <c r="L75" s="5"/>
    </row>
    <row r="76">
      <c r="A76" s="2" t="str">
        <f>IFERROR(__xludf.DUMMYFUNCTION("REGEXEXTRACT(G76, ""^[^都道府県]+[都道府県]"")
"),"千葉県")</f>
        <v>千葉県</v>
      </c>
      <c r="B76" s="4" t="str">
        <f>IFERROR(__xludf.DUMMYFUNCTION("REGEXEXTRACT(G76, ""^[^都道府県]+[都道府県]([^0-9]+?[市区町村]+)"")
"),"市川市")</f>
        <v>市川市</v>
      </c>
      <c r="C76" s="4" t="str">
        <f t="shared" si="1"/>
        <v>千葉県市川市行徳駅前1-22-17 ナカヤマビル</v>
      </c>
      <c r="D76" s="4" t="s">
        <v>276</v>
      </c>
      <c r="E76" s="4" t="s">
        <v>277</v>
      </c>
      <c r="F76" s="4" t="s">
        <v>48</v>
      </c>
      <c r="G76" s="4" t="s">
        <v>278</v>
      </c>
      <c r="H76" s="4" t="s">
        <v>113</v>
      </c>
      <c r="I76" s="5"/>
      <c r="J76" s="5"/>
      <c r="K76" s="4" t="s">
        <v>279</v>
      </c>
      <c r="L76" s="5"/>
    </row>
    <row r="77">
      <c r="A77" s="2" t="str">
        <f>IFERROR(__xludf.DUMMYFUNCTION("REGEXEXTRACT(G77, ""^[^都道府県]+[都道府県]"")
"),"千葉県")</f>
        <v>千葉県</v>
      </c>
      <c r="B77" s="4" t="str">
        <f>IFERROR(__xludf.DUMMYFUNCTION("REGEXEXTRACT(G77, ""^[^都道府県]+[都道府県]([^0-9]+?[市区町村]+)"")
"),"松戸市")</f>
        <v>松戸市</v>
      </c>
      <c r="C77" s="4" t="str">
        <f t="shared" si="1"/>
        <v>千葉県松戸市松戸1292-1 シティハイツ松戸</v>
      </c>
      <c r="D77" s="4" t="s">
        <v>280</v>
      </c>
      <c r="E77" s="4" t="s">
        <v>281</v>
      </c>
      <c r="F77" s="4" t="s">
        <v>15</v>
      </c>
      <c r="G77" s="4" t="s">
        <v>282</v>
      </c>
      <c r="H77" s="4" t="s">
        <v>17</v>
      </c>
      <c r="I77" s="4" t="s">
        <v>10</v>
      </c>
      <c r="J77" s="5"/>
      <c r="K77" s="5"/>
      <c r="L77" s="5"/>
    </row>
    <row r="78">
      <c r="A78" s="2" t="str">
        <f>IFERROR(__xludf.DUMMYFUNCTION("REGEXEXTRACT(G78, ""^[^都道府県]+[都道府県]"")
"),"千葉県")</f>
        <v>千葉県</v>
      </c>
      <c r="B78" s="4" t="str">
        <f>IFERROR(__xludf.DUMMYFUNCTION("REGEXEXTRACT(G78, ""^[^都道府県]+[都道府県]([^0-9]+?[市区町村]+)"")
"),"松戸市")</f>
        <v>松戸市</v>
      </c>
      <c r="C78" s="4" t="str">
        <f t="shared" si="1"/>
        <v>千葉県松戸市金ケ作24-1 第五泉ビル</v>
      </c>
      <c r="D78" s="4" t="s">
        <v>283</v>
      </c>
      <c r="E78" s="4" t="s">
        <v>284</v>
      </c>
      <c r="F78" s="4" t="s">
        <v>15</v>
      </c>
      <c r="G78" s="4" t="s">
        <v>285</v>
      </c>
      <c r="H78" s="4" t="s">
        <v>17</v>
      </c>
      <c r="I78" s="4" t="s">
        <v>10</v>
      </c>
      <c r="J78" s="5"/>
      <c r="K78" s="5"/>
      <c r="L78" s="5"/>
    </row>
    <row r="79">
      <c r="A79" s="2" t="str">
        <f>IFERROR(__xludf.DUMMYFUNCTION("REGEXEXTRACT(G79, ""^[^都道府県]+[都道府県]"")
"),"千葉県")</f>
        <v>千葉県</v>
      </c>
      <c r="B79" s="4" t="str">
        <f>IFERROR(__xludf.DUMMYFUNCTION("REGEXEXTRACT(G79, ""^[^都道府県]+[都道府県]([^0-9]+?[市区町村]+)"")
"),"松戸市")</f>
        <v>松戸市</v>
      </c>
      <c r="C79" s="4" t="str">
        <f t="shared" si="1"/>
        <v>千葉県松戸市日暮3-10-1 三井ビル</v>
      </c>
      <c r="D79" s="4" t="s">
        <v>286</v>
      </c>
      <c r="E79" s="4" t="s">
        <v>287</v>
      </c>
      <c r="F79" s="4" t="s">
        <v>15</v>
      </c>
      <c r="G79" s="4" t="s">
        <v>288</v>
      </c>
      <c r="H79" s="4" t="s">
        <v>17</v>
      </c>
      <c r="I79" s="4" t="s">
        <v>10</v>
      </c>
      <c r="J79" s="5"/>
      <c r="K79" s="5"/>
      <c r="L79" s="5"/>
    </row>
    <row r="80">
      <c r="A80" s="2" t="str">
        <f>IFERROR(__xludf.DUMMYFUNCTION("REGEXEXTRACT(G80, ""^[^都道府県]+[都道府県]"")
"),"千葉県")</f>
        <v>千葉県</v>
      </c>
      <c r="B80" s="4" t="str">
        <f>IFERROR(__xludf.DUMMYFUNCTION("REGEXEXTRACT(G80, ""^[^都道府県]+[都道府県]([^0-9]+?[市区町村]+)"")
"),"松戸市")</f>
        <v>松戸市</v>
      </c>
      <c r="C80" s="4" t="str">
        <f t="shared" si="1"/>
        <v>千葉県松戸市松戸1292-1 シティハイツ松戸</v>
      </c>
      <c r="D80" s="4" t="s">
        <v>289</v>
      </c>
      <c r="E80" s="4" t="s">
        <v>290</v>
      </c>
      <c r="F80" s="4" t="s">
        <v>15</v>
      </c>
      <c r="G80" s="4" t="s">
        <v>291</v>
      </c>
      <c r="H80" s="4" t="s">
        <v>9</v>
      </c>
      <c r="I80" s="4" t="s">
        <v>10</v>
      </c>
      <c r="J80" s="4" t="s">
        <v>11</v>
      </c>
      <c r="K80" s="4" t="s">
        <v>12</v>
      </c>
      <c r="L80" s="5"/>
    </row>
    <row r="81">
      <c r="A81" s="2" t="str">
        <f>IFERROR(__xludf.DUMMYFUNCTION("REGEXEXTRACT(G81, ""^[^都道府県]+[都道府県]"")
"),"千葉県")</f>
        <v>千葉県</v>
      </c>
      <c r="B81" s="4" t="str">
        <f>IFERROR(__xludf.DUMMYFUNCTION("REGEXEXTRACT(G81, ""^[^都道府県]+[都道府県]([^0-9]+?[市区町村]+)"")
"),"木更津市")</f>
        <v>木更津市</v>
      </c>
      <c r="C81" s="4" t="str">
        <f t="shared" si="1"/>
        <v>千葉県木更津市朝日1-5-9 グラン・シャリオ</v>
      </c>
      <c r="D81" s="4" t="s">
        <v>292</v>
      </c>
      <c r="E81" s="4" t="s">
        <v>293</v>
      </c>
      <c r="F81" s="4" t="s">
        <v>15</v>
      </c>
      <c r="G81" s="4" t="s">
        <v>294</v>
      </c>
      <c r="H81" s="4" t="s">
        <v>9</v>
      </c>
      <c r="I81" s="4" t="s">
        <v>10</v>
      </c>
      <c r="J81" s="4" t="s">
        <v>11</v>
      </c>
      <c r="K81" s="5"/>
      <c r="L81" s="5"/>
    </row>
    <row r="82">
      <c r="A82" s="2" t="str">
        <f>IFERROR(__xludf.DUMMYFUNCTION("REGEXEXTRACT(G82, ""^[^都道府県]+[都道府県]"")
"),"千葉県")</f>
        <v>千葉県</v>
      </c>
      <c r="B82" s="4" t="str">
        <f>IFERROR(__xludf.DUMMYFUNCTION("REGEXEXTRACT(G82, ""^[^都道府県]+[都道府県]([^0-9]+?[市区町村]+)"")
"),"銚子市")</f>
        <v>銚子市</v>
      </c>
      <c r="C82" s="4" t="str">
        <f t="shared" si="1"/>
        <v>千葉県銚子市長塚町3丁目643-18</v>
      </c>
      <c r="D82" s="4" t="s">
        <v>295</v>
      </c>
      <c r="E82" s="4" t="s">
        <v>296</v>
      </c>
      <c r="F82" s="4" t="s">
        <v>15</v>
      </c>
      <c r="G82" s="4" t="s">
        <v>297</v>
      </c>
      <c r="H82" s="4" t="s">
        <v>58</v>
      </c>
      <c r="I82" s="4" t="s">
        <v>10</v>
      </c>
      <c r="J82" s="5"/>
      <c r="K82" s="4" t="s">
        <v>298</v>
      </c>
      <c r="L82" s="5"/>
    </row>
    <row r="83">
      <c r="A83" s="2" t="str">
        <f>IFERROR(__xludf.DUMMYFUNCTION("REGEXEXTRACT(G83, ""^[^都道府県]+[都道府県]"")
"),"埼玉県")</f>
        <v>埼玉県</v>
      </c>
      <c r="B83" s="4" t="str">
        <f>IFERROR(__xludf.DUMMYFUNCTION("REGEXEXTRACT(G83, ""^[^都道府県]+[都道府県]([^0-9]+?[市区町村]+)"")
"),"川越市")</f>
        <v>川越市</v>
      </c>
      <c r="C83" s="4" t="str">
        <f t="shared" si="1"/>
        <v>埼玉県川越市南台2-4-12  SAレジデンス</v>
      </c>
      <c r="D83" s="13" t="s">
        <v>299</v>
      </c>
      <c r="E83" s="4" t="s">
        <v>300</v>
      </c>
      <c r="F83" s="4" t="s">
        <v>243</v>
      </c>
      <c r="G83" s="4" t="s">
        <v>301</v>
      </c>
      <c r="H83" s="4" t="s">
        <v>168</v>
      </c>
      <c r="I83" s="4" t="s">
        <v>10</v>
      </c>
      <c r="J83" s="4" t="s">
        <v>18</v>
      </c>
      <c r="K83" s="4" t="s">
        <v>201</v>
      </c>
      <c r="L83" s="14"/>
    </row>
    <row r="84">
      <c r="A84" s="2" t="str">
        <f>IFERROR(__xludf.DUMMYFUNCTION("REGEXEXTRACT(G84, ""^[^都道府県]+[都道府県]"")
"),"埼玉県")</f>
        <v>埼玉県</v>
      </c>
      <c r="B84" s="4" t="str">
        <f>IFERROR(__xludf.DUMMYFUNCTION("REGEXEXTRACT(G84, ""^[^都道府県]+[都道府県]([^0-9]+?[市区町村]+)"")
"),"川越市")</f>
        <v>川越市</v>
      </c>
      <c r="C84" s="4" t="str">
        <f t="shared" si="1"/>
        <v>埼玉県川越市稲荷町6-18 ブルーハイツK</v>
      </c>
      <c r="D84" s="13" t="s">
        <v>302</v>
      </c>
      <c r="E84" s="4" t="s">
        <v>303</v>
      </c>
      <c r="F84" s="15" t="s">
        <v>304</v>
      </c>
      <c r="G84" s="4" t="s">
        <v>305</v>
      </c>
      <c r="H84" s="4" t="s">
        <v>58</v>
      </c>
      <c r="I84" s="4" t="s">
        <v>44</v>
      </c>
      <c r="J84" s="4" t="s">
        <v>11</v>
      </c>
      <c r="K84" s="5"/>
      <c r="L84" s="14"/>
    </row>
    <row r="85">
      <c r="A85" s="2" t="str">
        <f>IFERROR(__xludf.DUMMYFUNCTION("REGEXEXTRACT(G85, ""^[^都道府県]+[都道府県]"")
"),"埼玉県")</f>
        <v>埼玉県</v>
      </c>
      <c r="B85" s="4" t="str">
        <f>IFERROR(__xludf.DUMMYFUNCTION("REGEXEXTRACT(G85, ""^[^都道府県]+[都道府県]([^0-9]+?[市区町村]+)"")
"),"さいたま市")</f>
        <v>さいたま市</v>
      </c>
      <c r="C85" s="4" t="str">
        <f t="shared" si="1"/>
        <v>埼玉県さいたま市北区宮原町3-250-7 サンクレール大宮</v>
      </c>
      <c r="D85" s="13" t="s">
        <v>306</v>
      </c>
      <c r="E85" s="4" t="s">
        <v>307</v>
      </c>
      <c r="F85" s="4" t="s">
        <v>308</v>
      </c>
      <c r="G85" s="4" t="s">
        <v>309</v>
      </c>
      <c r="H85" s="4" t="s">
        <v>94</v>
      </c>
      <c r="I85" s="5"/>
      <c r="J85" s="5"/>
      <c r="K85" s="4" t="s">
        <v>310</v>
      </c>
      <c r="L85" s="4" t="s">
        <v>109</v>
      </c>
    </row>
    <row r="86">
      <c r="A86" s="2" t="str">
        <f>IFERROR(__xludf.DUMMYFUNCTION("REGEXEXTRACT(G86, ""^[^都道府県]+[都道府県]"")
"),"埼玉県")</f>
        <v>埼玉県</v>
      </c>
      <c r="B86" s="4" t="str">
        <f>IFERROR(__xludf.DUMMYFUNCTION("REGEXEXTRACT(G86, ""^[^都道府県]+[都道府県]([^0-9]+?[市区町村]+)"")
"),"さいたま市")</f>
        <v>さいたま市</v>
      </c>
      <c r="C86" s="4" t="str">
        <f t="shared" si="1"/>
        <v>埼玉県さいたま市南区南浦和2-1-2 第二セントラルハイツ</v>
      </c>
      <c r="D86" s="13" t="s">
        <v>311</v>
      </c>
      <c r="E86" s="4" t="s">
        <v>312</v>
      </c>
      <c r="F86" s="4" t="s">
        <v>313</v>
      </c>
      <c r="G86" s="4" t="s">
        <v>314</v>
      </c>
      <c r="H86" s="4" t="s">
        <v>17</v>
      </c>
      <c r="I86" s="5"/>
      <c r="J86" s="5"/>
      <c r="K86" s="4" t="s">
        <v>54</v>
      </c>
      <c r="L86" s="5"/>
    </row>
    <row r="87">
      <c r="A87" s="2" t="str">
        <f>IFERROR(__xludf.DUMMYFUNCTION("REGEXEXTRACT(G87, ""^[^都道府県]+[都道府県]"")
"),"埼玉県")</f>
        <v>埼玉県</v>
      </c>
      <c r="B87" s="4" t="str">
        <f>IFERROR(__xludf.DUMMYFUNCTION("REGEXEXTRACT(G87, ""^[^都道府県]+[都道府県]([^0-9]+?[市区町村]+)"")
"),"さいたま市")</f>
        <v>さいたま市</v>
      </c>
      <c r="C87" s="4" t="str">
        <f t="shared" si="1"/>
        <v>埼玉県さいたま市南区南本町2-14-18 第16ユーセードムス</v>
      </c>
      <c r="D87" s="13" t="s">
        <v>315</v>
      </c>
      <c r="E87" s="4" t="s">
        <v>316</v>
      </c>
      <c r="F87" s="4" t="s">
        <v>15</v>
      </c>
      <c r="G87" s="4" t="s">
        <v>317</v>
      </c>
      <c r="H87" s="4" t="s">
        <v>17</v>
      </c>
      <c r="I87" s="4" t="s">
        <v>44</v>
      </c>
      <c r="J87" s="4" t="s">
        <v>18</v>
      </c>
      <c r="K87" s="5"/>
      <c r="L87" s="5"/>
    </row>
    <row r="88">
      <c r="A88" s="2" t="str">
        <f>IFERROR(__xludf.DUMMYFUNCTION("REGEXEXTRACT(G88, ""^[^都道府県]+[都道府県]"")
"),"埼玉県")</f>
        <v>埼玉県</v>
      </c>
      <c r="B88" s="4" t="str">
        <f>IFERROR(__xludf.DUMMYFUNCTION("REGEXEXTRACT(G88, ""^[^都道府県]+[都道府県]([^0-9]+?[市区町村]+)"")
"),"さいたま市")</f>
        <v>さいたま市</v>
      </c>
      <c r="C88" s="4" t="str">
        <f t="shared" si="1"/>
        <v>埼玉県さいたま市浦和区岸町4丁目26-8 プリムローズ岸町</v>
      </c>
      <c r="D88" s="13" t="s">
        <v>318</v>
      </c>
      <c r="E88" s="4" t="s">
        <v>319</v>
      </c>
      <c r="F88" s="4" t="s">
        <v>320</v>
      </c>
      <c r="G88" s="4" t="s">
        <v>321</v>
      </c>
      <c r="H88" s="4" t="s">
        <v>322</v>
      </c>
      <c r="I88" s="4" t="s">
        <v>44</v>
      </c>
      <c r="J88" s="5"/>
      <c r="K88" s="4" t="s">
        <v>151</v>
      </c>
      <c r="L88" s="5"/>
    </row>
    <row r="89">
      <c r="A89" s="2" t="str">
        <f>IFERROR(__xludf.DUMMYFUNCTION("REGEXEXTRACT(G89, ""^[^都道府県]+[都道府県]"")
"),"埼玉県")</f>
        <v>埼玉県</v>
      </c>
      <c r="B89" s="4" t="str">
        <f>IFERROR(__xludf.DUMMYFUNCTION("REGEXEXTRACT(G89, ""^[^都道府県]+[都道府県]([^0-9]+?[市区町村]+)"")
"),"川口市")</f>
        <v>川口市</v>
      </c>
      <c r="C89" s="4" t="str">
        <f t="shared" si="1"/>
        <v>埼玉県川口市芝新町4-14 ラフィスタ芝新町</v>
      </c>
      <c r="D89" s="13" t="s">
        <v>323</v>
      </c>
      <c r="E89" s="4" t="s">
        <v>324</v>
      </c>
      <c r="F89" s="4" t="s">
        <v>15</v>
      </c>
      <c r="G89" s="4" t="s">
        <v>325</v>
      </c>
      <c r="H89" s="4" t="s">
        <v>17</v>
      </c>
      <c r="I89" s="4" t="s">
        <v>10</v>
      </c>
      <c r="J89" s="4" t="s">
        <v>18</v>
      </c>
      <c r="K89" s="5"/>
      <c r="L89" s="5"/>
    </row>
    <row r="90">
      <c r="A90" s="2" t="str">
        <f>IFERROR(__xludf.DUMMYFUNCTION("REGEXEXTRACT(G90, ""^[^都道府県]+[都道府県]"")
"),"埼玉県")</f>
        <v>埼玉県</v>
      </c>
      <c r="B90" s="4" t="str">
        <f>IFERROR(__xludf.DUMMYFUNCTION("REGEXEXTRACT(G90, ""^[^都道府県]+[都道府県]([^0-9]+?[市区町村]+)"")
"),"草加市")</f>
        <v>草加市</v>
      </c>
      <c r="C90" s="4" t="str">
        <f t="shared" si="1"/>
        <v>埼玉県草加市谷塚町1363-1 リレント谷塚II</v>
      </c>
      <c r="D90" s="13" t="s">
        <v>326</v>
      </c>
      <c r="E90" s="4" t="s">
        <v>327</v>
      </c>
      <c r="F90" s="4" t="s">
        <v>15</v>
      </c>
      <c r="G90" s="4" t="s">
        <v>328</v>
      </c>
      <c r="H90" s="4" t="s">
        <v>17</v>
      </c>
      <c r="I90" s="4" t="s">
        <v>44</v>
      </c>
      <c r="J90" s="4" t="s">
        <v>18</v>
      </c>
      <c r="K90" s="5"/>
      <c r="L90" s="5"/>
    </row>
    <row r="91">
      <c r="A91" s="2" t="str">
        <f>IFERROR(__xludf.DUMMYFUNCTION("REGEXEXTRACT(G91, ""^[^都道府県]+[都道府県]"")
"),"埼玉県")</f>
        <v>埼玉県</v>
      </c>
      <c r="B91" s="4" t="str">
        <f>IFERROR(__xludf.DUMMYFUNCTION("REGEXEXTRACT(G91, ""^[^都道府県]+[都道府県]([^0-9]+?[市区町村]+)"")
"),"草加市")</f>
        <v>草加市</v>
      </c>
      <c r="C91" s="4" t="str">
        <f t="shared" si="1"/>
        <v>埼玉県草加市氷川町2149-19 ライブコート草加</v>
      </c>
      <c r="D91" s="13" t="s">
        <v>329</v>
      </c>
      <c r="E91" s="4" t="s">
        <v>330</v>
      </c>
      <c r="F91" s="4" t="s">
        <v>48</v>
      </c>
      <c r="G91" s="4" t="s">
        <v>331</v>
      </c>
      <c r="H91" s="4" t="s">
        <v>9</v>
      </c>
      <c r="I91" s="4" t="s">
        <v>44</v>
      </c>
      <c r="J91" s="5"/>
      <c r="K91" s="5"/>
      <c r="L91" s="5"/>
    </row>
    <row r="92">
      <c r="A92" s="2" t="str">
        <f>IFERROR(__xludf.DUMMYFUNCTION("REGEXEXTRACT(G92, ""^[^都道府県]+[都道府県]"")
"),"埼玉県")</f>
        <v>埼玉県</v>
      </c>
      <c r="B92" s="4" t="str">
        <f>IFERROR(__xludf.DUMMYFUNCTION("REGEXEXTRACT(G92, ""^[^都道府県]+[都道府県]([^0-9]+?[市区町村]+)"")
"),"所沢市")</f>
        <v>所沢市</v>
      </c>
      <c r="C92" s="4" t="str">
        <f t="shared" si="1"/>
        <v>埼玉県所沢市小手指町3-7-3 煉瓦館25</v>
      </c>
      <c r="D92" s="13" t="s">
        <v>332</v>
      </c>
      <c r="E92" s="4" t="s">
        <v>333</v>
      </c>
      <c r="F92" s="4" t="s">
        <v>15</v>
      </c>
      <c r="G92" s="4" t="s">
        <v>334</v>
      </c>
      <c r="H92" s="4" t="s">
        <v>17</v>
      </c>
      <c r="I92" s="4" t="s">
        <v>10</v>
      </c>
      <c r="J92" s="5"/>
      <c r="K92" s="5"/>
      <c r="L92" s="5"/>
    </row>
    <row r="93">
      <c r="A93" s="2" t="str">
        <f>IFERROR(__xludf.DUMMYFUNCTION("REGEXEXTRACT(G93, ""^[^都道府県]+[都道府県]"")
"),"埼玉県")</f>
        <v>埼玉県</v>
      </c>
      <c r="B93" s="4" t="str">
        <f>IFERROR(__xludf.DUMMYFUNCTION("REGEXEXTRACT(G93, ""^[^都道府県]+[都道府県]([^0-9]+?[市区町村]+)"")
"),"飯能市")</f>
        <v>飯能市</v>
      </c>
      <c r="C93" s="4" t="str">
        <f t="shared" si="1"/>
        <v>埼玉県飯能市柳町23-18 EXCEED飯能</v>
      </c>
      <c r="D93" s="13" t="s">
        <v>335</v>
      </c>
      <c r="E93" s="4" t="s">
        <v>336</v>
      </c>
      <c r="F93" s="4" t="s">
        <v>36</v>
      </c>
      <c r="G93" s="4" t="s">
        <v>337</v>
      </c>
      <c r="H93" s="4" t="s">
        <v>168</v>
      </c>
      <c r="I93" s="4" t="s">
        <v>44</v>
      </c>
      <c r="J93" s="4" t="s">
        <v>18</v>
      </c>
      <c r="K93" s="4" t="s">
        <v>151</v>
      </c>
      <c r="L93" s="5"/>
    </row>
    <row r="94">
      <c r="A94" s="2" t="str">
        <f>IFERROR(__xludf.DUMMYFUNCTION("REGEXEXTRACT(G94, ""^[^都道府県]+[都道府県]"")
"),"埼玉県")</f>
        <v>埼玉県</v>
      </c>
      <c r="B94" s="4" t="str">
        <f>IFERROR(__xludf.DUMMYFUNCTION("REGEXEXTRACT(G94, ""^[^都道府県]+[都道府県]([^0-9]+?[市区町村]+)"")
"),"ふじみ野市")</f>
        <v>ふじみ野市</v>
      </c>
      <c r="C94" s="4" t="str">
        <f t="shared" si="1"/>
        <v>埼玉県ふじみ野市上福岡1丁目7-10 ウィング上福岡</v>
      </c>
      <c r="D94" s="13" t="s">
        <v>338</v>
      </c>
      <c r="E94" s="4" t="s">
        <v>339</v>
      </c>
      <c r="F94" s="4" t="s">
        <v>48</v>
      </c>
      <c r="G94" s="4" t="s">
        <v>340</v>
      </c>
      <c r="H94" s="4" t="s">
        <v>9</v>
      </c>
      <c r="I94" s="4" t="s">
        <v>10</v>
      </c>
      <c r="J94" s="5"/>
      <c r="K94" s="5"/>
      <c r="L94" s="5"/>
    </row>
    <row r="95">
      <c r="A95" s="2" t="str">
        <f>IFERROR(__xludf.DUMMYFUNCTION("REGEXEXTRACT(G95, ""^[^都道府県]+[都道府県]"")
"),"埼玉県")</f>
        <v>埼玉県</v>
      </c>
      <c r="B95" s="4" t="str">
        <f>IFERROR(__xludf.DUMMYFUNCTION("REGEXEXTRACT(G95, ""^[^都道府県]+[都道府県]([^0-9]+?[市区町村]+)"")
"),"ふじみ野市")</f>
        <v>ふじみ野市</v>
      </c>
      <c r="C95" s="4" t="str">
        <f t="shared" si="1"/>
        <v>埼玉県ふじみ野市上福岡1丁目13-4  麻雀クラブ方の階</v>
      </c>
      <c r="D95" s="13" t="s">
        <v>341</v>
      </c>
      <c r="E95" s="4" t="s">
        <v>342</v>
      </c>
      <c r="F95" s="4" t="s">
        <v>15</v>
      </c>
      <c r="G95" s="4" t="s">
        <v>343</v>
      </c>
      <c r="H95" s="4" t="s">
        <v>17</v>
      </c>
      <c r="I95" s="4" t="s">
        <v>10</v>
      </c>
      <c r="J95" s="5"/>
      <c r="K95" s="5"/>
      <c r="L95" s="5"/>
    </row>
    <row r="96">
      <c r="A96" s="2" t="str">
        <f>IFERROR(__xludf.DUMMYFUNCTION("REGEXEXTRACT(G96, ""^[^都道府県]+[都道府県]"")
"),"埼玉県")</f>
        <v>埼玉県</v>
      </c>
      <c r="B96" s="4" t="str">
        <f>IFERROR(__xludf.DUMMYFUNCTION("REGEXEXTRACT(G96, ""^[^都道府県]+[都道府県]([^0-9]+?[市区町村]+)"")
"),"ふじみ野市")</f>
        <v>ふじみ野市</v>
      </c>
      <c r="C96" s="4" t="str">
        <f t="shared" si="1"/>
        <v>埼玉県ふじみ野市上福岡1丁目6-21 村田ビル</v>
      </c>
      <c r="D96" s="13" t="s">
        <v>344</v>
      </c>
      <c r="E96" s="4" t="s">
        <v>345</v>
      </c>
      <c r="F96" s="4" t="s">
        <v>48</v>
      </c>
      <c r="G96" s="4" t="s">
        <v>346</v>
      </c>
      <c r="H96" s="4" t="s">
        <v>9</v>
      </c>
      <c r="I96" s="4" t="s">
        <v>10</v>
      </c>
      <c r="J96" s="5"/>
      <c r="K96" s="5"/>
      <c r="L96" s="5"/>
    </row>
    <row r="97">
      <c r="A97" s="2" t="str">
        <f>IFERROR(__xludf.DUMMYFUNCTION("REGEXEXTRACT(G97, ""^[^都道府県]+[都道府県]"")
"),"埼玉県")</f>
        <v>埼玉県</v>
      </c>
      <c r="B97" s="4" t="str">
        <f>IFERROR(__xludf.DUMMYFUNCTION("REGEXEXTRACT(G97, ""^[^都道府県]+[都道府県]([^0-9]+?[市区町村]+)"")
"),"熊谷市")</f>
        <v>熊谷市</v>
      </c>
      <c r="C97" s="4" t="str">
        <f t="shared" si="1"/>
        <v>埼玉県熊谷市銀座1-153 ロハス星川</v>
      </c>
      <c r="D97" s="13" t="s">
        <v>347</v>
      </c>
      <c r="E97" s="4" t="s">
        <v>348</v>
      </c>
      <c r="F97" s="4" t="s">
        <v>101</v>
      </c>
      <c r="G97" s="4" t="s">
        <v>349</v>
      </c>
      <c r="H97" s="4" t="s">
        <v>17</v>
      </c>
      <c r="I97" s="4" t="s">
        <v>10</v>
      </c>
      <c r="J97" s="4" t="s">
        <v>11</v>
      </c>
      <c r="K97" s="4" t="s">
        <v>151</v>
      </c>
      <c r="L97" s="5"/>
    </row>
    <row r="98">
      <c r="A98" s="2" t="str">
        <f>IFERROR(__xludf.DUMMYFUNCTION("REGEXEXTRACT(G98, ""^[^都道府県]+[都道府県]"")
"),"埼玉県")</f>
        <v>埼玉県</v>
      </c>
      <c r="B98" s="4" t="str">
        <f>IFERROR(__xludf.DUMMYFUNCTION("REGEXEXTRACT(G98, ""^[^都道府県]+[都道府県]([^0-9]+?[市区町村]+)"")
"),"さいたま市")</f>
        <v>さいたま市</v>
      </c>
      <c r="C98" s="4" t="str">
        <f t="shared" si="1"/>
        <v>埼玉県さいたま市大宮区桜木町2丁目457-1 志延舍</v>
      </c>
      <c r="D98" s="16" t="s">
        <v>350</v>
      </c>
      <c r="E98" s="10" t="s">
        <v>351</v>
      </c>
      <c r="F98" s="10" t="s">
        <v>48</v>
      </c>
      <c r="G98" s="10" t="s">
        <v>352</v>
      </c>
      <c r="H98" s="10" t="s">
        <v>9</v>
      </c>
      <c r="I98" s="10" t="s">
        <v>10</v>
      </c>
      <c r="J98" s="10" t="s">
        <v>18</v>
      </c>
      <c r="K98" s="11" t="s">
        <v>90</v>
      </c>
      <c r="L98" s="7"/>
    </row>
    <row r="99">
      <c r="A99" s="2" t="str">
        <f>IFERROR(__xludf.DUMMYFUNCTION("REGEXEXTRACT(G99, ""^[^都道府県]+[都道府県]"")
"),"埼玉県")</f>
        <v>埼玉県</v>
      </c>
      <c r="B99" s="4" t="str">
        <f>IFERROR(__xludf.DUMMYFUNCTION("REGEXEXTRACT(G99, ""^[^都道府県]+[都道府県]([^0-9]+?[市区町村]+)"")
"),"所沢市")</f>
        <v>所沢市</v>
      </c>
      <c r="C99" s="4" t="str">
        <f t="shared" si="1"/>
        <v>埼玉県所沢市小手指町3丁目7-3 煉瓦館25</v>
      </c>
      <c r="D99" s="16" t="s">
        <v>353</v>
      </c>
      <c r="E99" s="10" t="s">
        <v>354</v>
      </c>
      <c r="F99" s="10" t="s">
        <v>48</v>
      </c>
      <c r="G99" s="10" t="s">
        <v>355</v>
      </c>
      <c r="H99" s="10" t="s">
        <v>9</v>
      </c>
      <c r="I99" s="10" t="s">
        <v>10</v>
      </c>
      <c r="J99" s="10" t="s">
        <v>18</v>
      </c>
      <c r="K99" s="11" t="s">
        <v>71</v>
      </c>
      <c r="L99" s="7"/>
    </row>
    <row r="100">
      <c r="A100" s="2" t="str">
        <f>IFERROR(__xludf.DUMMYFUNCTION("REGEXEXTRACT(G100, ""^[^都道府県]+[都道府県]"")
"),"埼玉県")</f>
        <v>埼玉県</v>
      </c>
      <c r="B100" s="4" t="str">
        <f>IFERROR(__xludf.DUMMYFUNCTION("REGEXEXTRACT(G100, ""^[^都道府県]+[都道府県]([^0-9]+?[市区町村]+)"")
"),"狭山市")</f>
        <v>狭山市</v>
      </c>
      <c r="C100" s="4" t="str">
        <f t="shared" si="1"/>
        <v>埼玉県狭山市新狭山2丁目23-11 オーク新狭山</v>
      </c>
      <c r="D100" s="16" t="s">
        <v>356</v>
      </c>
      <c r="E100" s="10" t="s">
        <v>357</v>
      </c>
      <c r="F100" s="10" t="s">
        <v>15</v>
      </c>
      <c r="G100" s="10" t="s">
        <v>358</v>
      </c>
      <c r="H100" s="10" t="s">
        <v>9</v>
      </c>
      <c r="I100" s="10" t="s">
        <v>10</v>
      </c>
      <c r="J100" s="10" t="s">
        <v>18</v>
      </c>
      <c r="K100" s="11" t="s">
        <v>359</v>
      </c>
      <c r="L100" s="7"/>
    </row>
    <row r="101">
      <c r="A101" s="2" t="str">
        <f>IFERROR(__xludf.DUMMYFUNCTION("REGEXEXTRACT(G101, ""^[^都道府県]+[都道府県]"")
"),"埼玉県")</f>
        <v>埼玉県</v>
      </c>
      <c r="B101" s="4" t="str">
        <f>IFERROR(__xludf.DUMMYFUNCTION("REGEXEXTRACT(G101, ""^[^都道府県]+[都道府県]([^0-9]+?[市区町村]+)"")
"),"狭山市")</f>
        <v>狭山市</v>
      </c>
      <c r="C101" s="4" t="str">
        <f t="shared" si="1"/>
        <v>埼玉県狭山市新狭山3丁目9-16 レスポワール新狭山</v>
      </c>
      <c r="D101" s="13" t="s">
        <v>360</v>
      </c>
      <c r="E101" s="4" t="s">
        <v>361</v>
      </c>
      <c r="F101" s="4" t="s">
        <v>48</v>
      </c>
      <c r="G101" s="4" t="s">
        <v>362</v>
      </c>
      <c r="H101" s="4" t="s">
        <v>9</v>
      </c>
      <c r="I101" s="4" t="s">
        <v>44</v>
      </c>
      <c r="J101" s="4" t="s">
        <v>18</v>
      </c>
      <c r="K101" s="4" t="s">
        <v>255</v>
      </c>
      <c r="L101" s="5"/>
    </row>
    <row r="102">
      <c r="A102" s="2" t="str">
        <f>IFERROR(__xludf.DUMMYFUNCTION("REGEXEXTRACT(G102, ""^[^都道府県]+[都道府県]"")
"),"埼玉県")</f>
        <v>埼玉県</v>
      </c>
      <c r="B102" s="4" t="str">
        <f>IFERROR(__xludf.DUMMYFUNCTION("REGEXEXTRACT(G102, ""^[^都道府県]+[都道府県]([^0-9]+?[市区町村]+)"")
"),"越谷市")</f>
        <v>越谷市</v>
      </c>
      <c r="C102" s="4" t="str">
        <f t="shared" si="1"/>
        <v>埼玉県越谷市南越谷4丁目12-22 サクラビルディング</v>
      </c>
      <c r="D102" s="13" t="s">
        <v>363</v>
      </c>
      <c r="E102" s="4" t="s">
        <v>364</v>
      </c>
      <c r="F102" s="4" t="s">
        <v>15</v>
      </c>
      <c r="G102" s="4" t="s">
        <v>365</v>
      </c>
      <c r="H102" s="4" t="s">
        <v>17</v>
      </c>
      <c r="I102" s="4" t="s">
        <v>10</v>
      </c>
      <c r="J102" s="5"/>
      <c r="K102" s="4" t="s">
        <v>151</v>
      </c>
      <c r="L102" s="5"/>
    </row>
    <row r="103">
      <c r="A103" s="2" t="str">
        <f>IFERROR(__xludf.DUMMYFUNCTION("REGEXEXTRACT(G103, ""^[^都道府県]+[都道府県]"")
"),"埼玉県")</f>
        <v>埼玉県</v>
      </c>
      <c r="B103" s="4" t="str">
        <f>IFERROR(__xludf.DUMMYFUNCTION("REGEXEXTRACT(G103, ""^[^都道府県]+[都道府県]([^0-9]+?[市区町村]+)"")
"),"朝霞市")</f>
        <v>朝霞市</v>
      </c>
      <c r="C103" s="4" t="str">
        <f t="shared" si="1"/>
        <v>埼玉県朝霞市北原2丁目12-32  メゾンヨネダ</v>
      </c>
      <c r="D103" s="13" t="s">
        <v>366</v>
      </c>
      <c r="E103" s="4" t="s">
        <v>367</v>
      </c>
      <c r="F103" s="4" t="s">
        <v>368</v>
      </c>
      <c r="G103" s="4" t="s">
        <v>369</v>
      </c>
      <c r="H103" s="4" t="s">
        <v>58</v>
      </c>
      <c r="I103" s="4" t="s">
        <v>44</v>
      </c>
      <c r="J103" s="4" t="s">
        <v>11</v>
      </c>
      <c r="K103" s="5"/>
      <c r="L103" s="5"/>
    </row>
    <row r="104">
      <c r="A104" s="2" t="str">
        <f>IFERROR(__xludf.DUMMYFUNCTION("REGEXEXTRACT(G104, ""^[^都道府県]+[都道府県]"")
"),"大阪府")</f>
        <v>大阪府</v>
      </c>
      <c r="B104" s="4" t="str">
        <f>IFERROR(__xludf.DUMMYFUNCTION("REGEXEXTRACT(G104, ""^[^都道府県]+[都道府県]([^0-9]+?[市区町村]+)"")
"),"堺市")</f>
        <v>堺市</v>
      </c>
      <c r="C104" s="4" t="str">
        <f t="shared" si="1"/>
        <v>大阪府堺市北区長曽根町3083-17 ふぁみーゆ中百舌鳥</v>
      </c>
      <c r="D104" s="4" t="s">
        <v>370</v>
      </c>
      <c r="E104" s="4" t="s">
        <v>371</v>
      </c>
      <c r="F104" s="4" t="s">
        <v>15</v>
      </c>
      <c r="G104" s="4" t="s">
        <v>372</v>
      </c>
      <c r="H104" s="4" t="s">
        <v>58</v>
      </c>
      <c r="I104" s="4" t="s">
        <v>44</v>
      </c>
      <c r="J104" s="4" t="s">
        <v>11</v>
      </c>
      <c r="K104" s="5"/>
      <c r="L104" s="12"/>
    </row>
    <row r="105">
      <c r="A105" s="2" t="str">
        <f>IFERROR(__xludf.DUMMYFUNCTION("REGEXEXTRACT(G105, ""^[^都道府県]+[都道府県]"")
"),"大阪府")</f>
        <v>大阪府</v>
      </c>
      <c r="B105" s="4" t="str">
        <f>IFERROR(__xludf.DUMMYFUNCTION("REGEXEXTRACT(G105, ""^[^都道府県]+[都道府県]([^0-9]+?[市区町村]+)"")
"),"泉大津市")</f>
        <v>泉大津市</v>
      </c>
      <c r="C105" s="4" t="str">
        <f t="shared" si="1"/>
        <v>大阪府泉大津市東豊中町1-5-48 シンエイビル</v>
      </c>
      <c r="D105" s="4" t="s">
        <v>373</v>
      </c>
      <c r="E105" s="4" t="s">
        <v>374</v>
      </c>
      <c r="F105" s="4" t="s">
        <v>15</v>
      </c>
      <c r="G105" s="4" t="s">
        <v>375</v>
      </c>
      <c r="H105" s="4" t="s">
        <v>9</v>
      </c>
      <c r="I105" s="4" t="s">
        <v>10</v>
      </c>
      <c r="J105" s="4" t="s">
        <v>11</v>
      </c>
      <c r="K105" s="4" t="s">
        <v>12</v>
      </c>
      <c r="L105" s="12"/>
    </row>
    <row r="106">
      <c r="A106" s="2" t="str">
        <f>IFERROR(__xludf.DUMMYFUNCTION("REGEXEXTRACT(G106, ""^[^都道府県]+[都道府県]"")
"),"大阪府")</f>
        <v>大阪府</v>
      </c>
      <c r="B106" s="4" t="str">
        <f>IFERROR(__xludf.DUMMYFUNCTION("REGEXEXTRACT(G106, ""^[^都道府県]+[都道府県]([^0-9]+?[市区町村]+)"")
"),"大阪市")</f>
        <v>大阪市</v>
      </c>
      <c r="C106" s="4" t="str">
        <f t="shared" si="1"/>
        <v>大阪府大阪市西成区旭1-8-5 サンハイツタケナワ</v>
      </c>
      <c r="D106" s="4" t="s">
        <v>376</v>
      </c>
      <c r="E106" s="4" t="s">
        <v>377</v>
      </c>
      <c r="F106" s="4" t="s">
        <v>48</v>
      </c>
      <c r="G106" s="4" t="s">
        <v>378</v>
      </c>
      <c r="H106" s="4" t="s">
        <v>9</v>
      </c>
      <c r="I106" s="4" t="s">
        <v>10</v>
      </c>
      <c r="J106" s="5"/>
      <c r="K106" s="4" t="s">
        <v>379</v>
      </c>
      <c r="L106" s="12"/>
    </row>
    <row r="107">
      <c r="A107" s="2" t="str">
        <f>IFERROR(__xludf.DUMMYFUNCTION("REGEXEXTRACT(G107, ""^[^都道府県]+[都道府県]"")
"),"大阪府")</f>
        <v>大阪府</v>
      </c>
      <c r="B107" s="4" t="str">
        <f>IFERROR(__xludf.DUMMYFUNCTION("REGEXEXTRACT(G107, ""^[^都道府県]+[都道府県]([^0-9]+?[市区町村]+)"")
"),"大阪市")</f>
        <v>大阪市</v>
      </c>
      <c r="C107" s="4" t="str">
        <f t="shared" si="1"/>
        <v>大阪府大阪市生野区鶴橋1-5-21 カーサフェリーチェ</v>
      </c>
      <c r="D107" s="4" t="s">
        <v>380</v>
      </c>
      <c r="E107" s="4" t="s">
        <v>381</v>
      </c>
      <c r="F107" s="4" t="s">
        <v>48</v>
      </c>
      <c r="G107" s="4" t="s">
        <v>382</v>
      </c>
      <c r="H107" s="4" t="s">
        <v>9</v>
      </c>
      <c r="I107" s="4" t="s">
        <v>10</v>
      </c>
      <c r="J107" s="5"/>
      <c r="K107" s="4" t="s">
        <v>379</v>
      </c>
      <c r="L107" s="12"/>
    </row>
    <row r="108">
      <c r="A108" s="2" t="str">
        <f>IFERROR(__xludf.DUMMYFUNCTION("REGEXEXTRACT(G108, ""^[^都道府県]+[都道府県]"")
"),"大阪府")</f>
        <v>大阪府</v>
      </c>
      <c r="B108" s="4" t="str">
        <f>IFERROR(__xludf.DUMMYFUNCTION("REGEXEXTRACT(G108, ""^[^都道府県]+[都道府県]([^0-9]+?[市区町村]+)"")
"),"大阪市")</f>
        <v>大阪市</v>
      </c>
      <c r="C108" s="4" t="str">
        <f t="shared" si="1"/>
        <v>大阪府大阪市中央区備後町1-4-6  ラナップスクエ堺筋本町</v>
      </c>
      <c r="D108" s="4" t="s">
        <v>383</v>
      </c>
      <c r="E108" s="4" t="s">
        <v>384</v>
      </c>
      <c r="F108" s="4" t="s">
        <v>48</v>
      </c>
      <c r="G108" s="4" t="s">
        <v>385</v>
      </c>
      <c r="H108" s="4" t="s">
        <v>9</v>
      </c>
      <c r="I108" s="4" t="s">
        <v>10</v>
      </c>
      <c r="J108" s="5"/>
      <c r="K108" s="4" t="s">
        <v>379</v>
      </c>
      <c r="L108" s="5"/>
    </row>
    <row r="109">
      <c r="A109" s="2" t="str">
        <f>IFERROR(__xludf.DUMMYFUNCTION("REGEXEXTRACT(G109, ""^[^都道府県]+[都道府県]"")
"),"大阪府")</f>
        <v>大阪府</v>
      </c>
      <c r="B109" s="4" t="str">
        <f>IFERROR(__xludf.DUMMYFUNCTION("REGEXEXTRACT(G109, ""^[^都道府県]+[都道府県]([^0-9]+?[市区町村]+)"")
"),"大阪市")</f>
        <v>大阪市</v>
      </c>
      <c r="C109" s="4" t="str">
        <f t="shared" si="1"/>
        <v>大阪府大阪市中央区日本橋1丁目3-2 コージーアパートメント日本橋</v>
      </c>
      <c r="D109" s="4" t="s">
        <v>386</v>
      </c>
      <c r="E109" s="4" t="s">
        <v>387</v>
      </c>
      <c r="F109" s="4" t="s">
        <v>15</v>
      </c>
      <c r="G109" s="4" t="s">
        <v>388</v>
      </c>
      <c r="H109" s="4" t="s">
        <v>58</v>
      </c>
      <c r="I109" s="4" t="s">
        <v>44</v>
      </c>
      <c r="J109" s="4" t="s">
        <v>11</v>
      </c>
      <c r="K109" s="4" t="s">
        <v>151</v>
      </c>
      <c r="L109" s="5"/>
    </row>
    <row r="110">
      <c r="A110" s="2" t="str">
        <f>IFERROR(__xludf.DUMMYFUNCTION("REGEXEXTRACT(G110, ""^[^都道府県]+[都道府県]"")
"),"大阪府")</f>
        <v>大阪府</v>
      </c>
      <c r="B110" s="4" t="str">
        <f>IFERROR(__xludf.DUMMYFUNCTION("REGEXEXTRACT(G110, ""^[^都道府県]+[都道府県]([^0-9]+?[市区町村]+)"")
"),"大阪市")</f>
        <v>大阪市</v>
      </c>
      <c r="C110" s="4" t="str">
        <f t="shared" si="1"/>
        <v>大阪府大阪市中央区高津2丁目4-20 M.C.高津メゾンエルム</v>
      </c>
      <c r="D110" s="4" t="s">
        <v>389</v>
      </c>
      <c r="E110" s="4" t="s">
        <v>390</v>
      </c>
      <c r="F110" s="4" t="s">
        <v>15</v>
      </c>
      <c r="G110" s="4" t="s">
        <v>391</v>
      </c>
      <c r="H110" s="4" t="s">
        <v>17</v>
      </c>
      <c r="I110" s="4" t="s">
        <v>10</v>
      </c>
      <c r="J110" s="4" t="s">
        <v>18</v>
      </c>
      <c r="K110" s="5"/>
      <c r="L110" s="5"/>
    </row>
    <row r="111">
      <c r="A111" s="2" t="str">
        <f>IFERROR(__xludf.DUMMYFUNCTION("REGEXEXTRACT(G111, ""^[^都道府県]+[都道府県]"")
"),"大阪府")</f>
        <v>大阪府</v>
      </c>
      <c r="B111" s="4" t="str">
        <f>IFERROR(__xludf.DUMMYFUNCTION("REGEXEXTRACT(G111, ""^[^都道府県]+[都道府県]([^0-9]+?[市区町村]+)"")
"),"大阪市")</f>
        <v>大阪市</v>
      </c>
      <c r="C111" s="4" t="str">
        <f t="shared" si="1"/>
        <v>大阪府大阪市天王寺区生玉町11-29 朝日プラザ高津第1</v>
      </c>
      <c r="D111" s="4" t="s">
        <v>392</v>
      </c>
      <c r="E111" s="4" t="s">
        <v>393</v>
      </c>
      <c r="F111" s="4" t="s">
        <v>394</v>
      </c>
      <c r="G111" s="4" t="s">
        <v>395</v>
      </c>
      <c r="H111" s="4" t="s">
        <v>17</v>
      </c>
      <c r="I111" s="4" t="s">
        <v>10</v>
      </c>
      <c r="J111" s="4" t="s">
        <v>18</v>
      </c>
      <c r="K111" s="5"/>
      <c r="L111" s="5"/>
    </row>
    <row r="112">
      <c r="A112" s="2" t="str">
        <f>IFERROR(__xludf.DUMMYFUNCTION("REGEXEXTRACT(G112, ""^[^都道府県]+[都道府県]"")
"),"大阪府")</f>
        <v>大阪府</v>
      </c>
      <c r="B112" s="4" t="str">
        <f>IFERROR(__xludf.DUMMYFUNCTION("REGEXEXTRACT(G112, ""^[^都道府県]+[都道府県]([^0-9]+?[市区町村]+)"")
"),"大阪市")</f>
        <v>大阪市</v>
      </c>
      <c r="C112" s="4" t="str">
        <f t="shared" si="1"/>
        <v>大阪府大阪市淀川区西中島1丁目14-4 プレサンス新大阪ストリーム</v>
      </c>
      <c r="D112" s="4" t="s">
        <v>396</v>
      </c>
      <c r="E112" s="4" t="s">
        <v>397</v>
      </c>
      <c r="F112" s="4" t="s">
        <v>15</v>
      </c>
      <c r="G112" s="4" t="s">
        <v>398</v>
      </c>
      <c r="H112" s="4" t="s">
        <v>9</v>
      </c>
      <c r="I112" s="4" t="s">
        <v>10</v>
      </c>
      <c r="J112" s="4" t="s">
        <v>18</v>
      </c>
      <c r="K112" s="5"/>
      <c r="L112" s="5"/>
    </row>
    <row r="113">
      <c r="A113" s="2" t="str">
        <f>IFERROR(__xludf.DUMMYFUNCTION("REGEXEXTRACT(G113, ""^[^都道府県]+[都道府県]"")
"),"大阪府")</f>
        <v>大阪府</v>
      </c>
      <c r="B113" s="4" t="str">
        <f>IFERROR(__xludf.DUMMYFUNCTION("REGEXEXTRACT(G113, ""^[^都道府県]+[都道府県]([^0-9]+?[市区町村]+)"")
"),"大阪市")</f>
        <v>大阪市</v>
      </c>
      <c r="C113" s="4" t="str">
        <f t="shared" si="1"/>
        <v>大阪府大阪市淀川区西中島5丁目8-21 マイルド新大阪レジデンス</v>
      </c>
      <c r="D113" s="4" t="s">
        <v>399</v>
      </c>
      <c r="E113" s="4" t="s">
        <v>400</v>
      </c>
      <c r="F113" s="4" t="s">
        <v>15</v>
      </c>
      <c r="G113" s="4" t="s">
        <v>401</v>
      </c>
      <c r="H113" s="4" t="s">
        <v>402</v>
      </c>
      <c r="I113" s="4" t="s">
        <v>44</v>
      </c>
      <c r="J113" s="5"/>
      <c r="K113" s="4" t="s">
        <v>403</v>
      </c>
      <c r="L113" s="5"/>
    </row>
    <row r="114">
      <c r="A114" s="2" t="str">
        <f>IFERROR(__xludf.DUMMYFUNCTION("REGEXEXTRACT(G114, ""^[^都道府県]+[都道府県]"")
"),"大阪府")</f>
        <v>大阪府</v>
      </c>
      <c r="B114" s="4" t="str">
        <f>IFERROR(__xludf.DUMMYFUNCTION("REGEXEXTRACT(G114, ""^[^都道府県]+[都道府県]([^0-9]+?[市区町村]+)"")
"),"大阪市")</f>
        <v>大阪市</v>
      </c>
      <c r="C114" s="4" t="str">
        <f t="shared" si="1"/>
        <v>大阪府大阪市淀川区西中島3-12-4 ATOLL西中島</v>
      </c>
      <c r="D114" s="4" t="s">
        <v>404</v>
      </c>
      <c r="E114" s="4" t="s">
        <v>405</v>
      </c>
      <c r="F114" s="4" t="s">
        <v>226</v>
      </c>
      <c r="G114" s="4" t="s">
        <v>406</v>
      </c>
      <c r="H114" s="4" t="s">
        <v>9</v>
      </c>
      <c r="I114" s="4" t="s">
        <v>10</v>
      </c>
      <c r="J114" s="5"/>
      <c r="K114" s="4" t="s">
        <v>379</v>
      </c>
      <c r="L114" s="5"/>
    </row>
    <row r="115">
      <c r="A115" s="2" t="str">
        <f>IFERROR(__xludf.DUMMYFUNCTION("REGEXEXTRACT(G115, ""^[^都道府県]+[都道府県]"")
"),"#N/A")</f>
        <v>#N/A</v>
      </c>
      <c r="B115" s="4" t="str">
        <f>IFERROR(__xludf.DUMMYFUNCTION("REGEXEXTRACT(G115, ""^[^都道府県]+[都道府県]([^0-9]+?[市区町村]+)"")
"),"#N/A")</f>
        <v>#N/A</v>
      </c>
      <c r="C115" s="4" t="str">
        <f t="shared" si="1"/>
        <v>大阪市東淀川区西淡路1-1-28 ライオンズマンション</v>
      </c>
      <c r="D115" s="4" t="s">
        <v>407</v>
      </c>
      <c r="E115" s="4" t="s">
        <v>408</v>
      </c>
      <c r="F115" s="4" t="s">
        <v>243</v>
      </c>
      <c r="G115" s="4" t="s">
        <v>409</v>
      </c>
      <c r="H115" s="4" t="s">
        <v>9</v>
      </c>
      <c r="I115" s="4" t="s">
        <v>10</v>
      </c>
      <c r="J115" s="5"/>
      <c r="K115" s="4" t="s">
        <v>379</v>
      </c>
      <c r="L115" s="5"/>
    </row>
    <row r="116">
      <c r="A116" s="2" t="str">
        <f>IFERROR(__xludf.DUMMYFUNCTION("REGEXEXTRACT(G116, ""^[^都道府県]+[都道府県]"")
"),"大阪府")</f>
        <v>大阪府</v>
      </c>
      <c r="B116" s="4" t="str">
        <f>IFERROR(__xludf.DUMMYFUNCTION("REGEXEXTRACT(G116, ""^[^都道府県]+[都道府県]([^0-9]+?[市区町村]+)"")
"),"大阪市")</f>
        <v>大阪市</v>
      </c>
      <c r="C116" s="4" t="str">
        <f t="shared" si="1"/>
        <v>大阪府大阪市平野区流町1丁目5-25 レクシア平野DUO</v>
      </c>
      <c r="D116" s="4" t="s">
        <v>410</v>
      </c>
      <c r="E116" s="4" t="s">
        <v>411</v>
      </c>
      <c r="F116" s="4" t="s">
        <v>15</v>
      </c>
      <c r="G116" s="4" t="s">
        <v>412</v>
      </c>
      <c r="H116" s="4" t="s">
        <v>17</v>
      </c>
      <c r="I116" s="4" t="s">
        <v>44</v>
      </c>
      <c r="J116" s="5"/>
      <c r="K116" s="4" t="s">
        <v>75</v>
      </c>
      <c r="L116" s="5"/>
    </row>
    <row r="117">
      <c r="A117" s="2" t="str">
        <f>IFERROR(__xludf.DUMMYFUNCTION("REGEXEXTRACT(G117, ""^[^都道府県]+[都道府県]"")
"),"大阪府")</f>
        <v>大阪府</v>
      </c>
      <c r="B117" s="4" t="str">
        <f>IFERROR(__xludf.DUMMYFUNCTION("REGEXEXTRACT(G117, ""^[^都道府県]+[都道府県]([^0-9]+?[市区町村]+)"")
"),"大阪市")</f>
        <v>大阪市</v>
      </c>
      <c r="C117" s="4" t="str">
        <f t="shared" si="1"/>
        <v>大阪府大阪市平野区背戸口5-6-12 カサ・エルドラード</v>
      </c>
      <c r="D117" s="4" t="s">
        <v>413</v>
      </c>
      <c r="E117" s="4" t="s">
        <v>414</v>
      </c>
      <c r="F117" s="4" t="s">
        <v>85</v>
      </c>
      <c r="G117" s="4" t="s">
        <v>415</v>
      </c>
      <c r="H117" s="4" t="s">
        <v>58</v>
      </c>
      <c r="I117" s="4" t="s">
        <v>44</v>
      </c>
      <c r="J117" s="4" t="s">
        <v>11</v>
      </c>
      <c r="K117" s="4" t="s">
        <v>416</v>
      </c>
      <c r="L117" s="5"/>
    </row>
    <row r="118">
      <c r="A118" s="2" t="str">
        <f>IFERROR(__xludf.DUMMYFUNCTION("REGEXEXTRACT(G118, ""^[^都道府県]+[都道府県]"")
"),"大阪府")</f>
        <v>大阪府</v>
      </c>
      <c r="B118" s="4" t="str">
        <f>IFERROR(__xludf.DUMMYFUNCTION("REGEXEXTRACT(G118, ""^[^都道府県]+[都道府県]([^0-9]+?[市区町村]+)"")
"),"大阪市")</f>
        <v>大阪市</v>
      </c>
      <c r="C118" s="4" t="str">
        <f t="shared" si="1"/>
        <v>大阪府大阪市北区浪花町9-12 ロイヤルハイツ扇町</v>
      </c>
      <c r="D118" s="4" t="s">
        <v>417</v>
      </c>
      <c r="E118" s="4" t="s">
        <v>418</v>
      </c>
      <c r="F118" s="4" t="s">
        <v>15</v>
      </c>
      <c r="G118" s="4" t="s">
        <v>419</v>
      </c>
      <c r="H118" s="4" t="s">
        <v>17</v>
      </c>
      <c r="I118" s="4" t="s">
        <v>44</v>
      </c>
      <c r="J118" s="5"/>
      <c r="K118" s="5"/>
      <c r="L118" s="5"/>
    </row>
    <row r="119">
      <c r="A119" s="2" t="str">
        <f>IFERROR(__xludf.DUMMYFUNCTION("REGEXEXTRACT(G119, ""^[^都道府県]+[都道府県]"")
"),"大阪府")</f>
        <v>大阪府</v>
      </c>
      <c r="B119" s="4" t="str">
        <f>IFERROR(__xludf.DUMMYFUNCTION("REGEXEXTRACT(G119, ""^[^都道府県]+[都道府県]([^0-9]+?[市区町村]+)"")
"),"東大阪市")</f>
        <v>東大阪市</v>
      </c>
      <c r="C119" s="4" t="str">
        <f t="shared" si="1"/>
        <v>大阪府東大阪市長田中1-4-12 イマザキマンション</v>
      </c>
      <c r="D119" s="4" t="s">
        <v>420</v>
      </c>
      <c r="E119" s="4" t="s">
        <v>421</v>
      </c>
      <c r="F119" s="4" t="s">
        <v>85</v>
      </c>
      <c r="G119" s="4" t="s">
        <v>422</v>
      </c>
      <c r="H119" s="4" t="s">
        <v>58</v>
      </c>
      <c r="I119" s="4" t="s">
        <v>10</v>
      </c>
      <c r="J119" s="5"/>
      <c r="K119" s="5"/>
      <c r="L119" s="5"/>
    </row>
    <row r="120">
      <c r="A120" s="2" t="str">
        <f>IFERROR(__xludf.DUMMYFUNCTION("REGEXEXTRACT(G120, ""^[^都道府県]+[都道府県]"")
"),"大阪府")</f>
        <v>大阪府</v>
      </c>
      <c r="B120" s="4" t="str">
        <f>IFERROR(__xludf.DUMMYFUNCTION("REGEXEXTRACT(G120, ""^[^都道府県]+[都道府県]([^0-9]+?[市区町村]+)"")
"),"東大阪市")</f>
        <v>東大阪市</v>
      </c>
      <c r="C120" s="4" t="str">
        <f t="shared" si="1"/>
        <v>大阪府東大阪市足代新町9-17 Siete布施駅前</v>
      </c>
      <c r="D120" s="4" t="s">
        <v>423</v>
      </c>
      <c r="E120" s="4" t="s">
        <v>424</v>
      </c>
      <c r="F120" s="4" t="s">
        <v>48</v>
      </c>
      <c r="G120" s="4" t="s">
        <v>425</v>
      </c>
      <c r="H120" s="4" t="s">
        <v>426</v>
      </c>
      <c r="I120" s="4" t="s">
        <v>10</v>
      </c>
      <c r="J120" s="5"/>
      <c r="K120" s="4" t="s">
        <v>151</v>
      </c>
      <c r="L120" s="5"/>
    </row>
    <row r="121">
      <c r="A121" s="2" t="str">
        <f>IFERROR(__xludf.DUMMYFUNCTION("REGEXEXTRACT(G121, ""^[^都道府県]+[都道府県]"")
"),"大阪府")</f>
        <v>大阪府</v>
      </c>
      <c r="B121" s="4" t="str">
        <f>IFERROR(__xludf.DUMMYFUNCTION("REGEXEXTRACT(G121, ""^[^都道府県]+[都道府県]([^0-9]+?[市区町村]+)"")
"),"大阪市")</f>
        <v>大阪市</v>
      </c>
      <c r="C121" s="4" t="str">
        <f t="shared" si="1"/>
        <v>大阪府大阪市都島区東野田町4-14-10 レクシア京橋</v>
      </c>
      <c r="D121" s="4" t="s">
        <v>427</v>
      </c>
      <c r="E121" s="4" t="s">
        <v>428</v>
      </c>
      <c r="F121" s="4" t="s">
        <v>15</v>
      </c>
      <c r="G121" s="4" t="s">
        <v>429</v>
      </c>
      <c r="H121" s="4" t="s">
        <v>9</v>
      </c>
      <c r="I121" s="4" t="s">
        <v>10</v>
      </c>
      <c r="J121" s="5"/>
      <c r="K121" s="4" t="s">
        <v>379</v>
      </c>
      <c r="L121" s="5"/>
    </row>
    <row r="122">
      <c r="A122" s="2" t="str">
        <f>IFERROR(__xludf.DUMMYFUNCTION("REGEXEXTRACT(G122, ""^[^都道府県]+[都道府県]"")
"),"大阪府")</f>
        <v>大阪府</v>
      </c>
      <c r="B122" s="4" t="str">
        <f>IFERROR(__xludf.DUMMYFUNCTION("REGEXEXTRACT(G122, ""^[^都道府県]+[都道府県]([^0-9]+?[市区町村]+)"")
"),"大阪市")</f>
        <v>大阪市</v>
      </c>
      <c r="C122" s="4" t="str">
        <f t="shared" si="1"/>
        <v>大阪府大阪市都島区東野田町3-7-17 ハイツ京橋</v>
      </c>
      <c r="D122" s="4" t="s">
        <v>430</v>
      </c>
      <c r="E122" s="4" t="s">
        <v>431</v>
      </c>
      <c r="F122" s="4" t="s">
        <v>15</v>
      </c>
      <c r="G122" s="4" t="s">
        <v>432</v>
      </c>
      <c r="H122" s="4" t="s">
        <v>58</v>
      </c>
      <c r="I122" s="4" t="s">
        <v>44</v>
      </c>
      <c r="J122" s="4" t="s">
        <v>11</v>
      </c>
      <c r="K122" s="5"/>
      <c r="L122" s="5"/>
    </row>
    <row r="123">
      <c r="A123" s="2" t="str">
        <f>IFERROR(__xludf.DUMMYFUNCTION("REGEXEXTRACT(G123, ""^[^都道府県]+[都道府県]"")
"),"大阪府")</f>
        <v>大阪府</v>
      </c>
      <c r="B123" s="4" t="str">
        <f>IFERROR(__xludf.DUMMYFUNCTION("REGEXEXTRACT(G123, ""^[^都道府県]+[都道府県]([^0-9]+?[市区町村]+)"")
"),"守口市")</f>
        <v>守口市</v>
      </c>
      <c r="C123" s="4" t="str">
        <f t="shared" si="1"/>
        <v>大阪府守口市寺内町1-5-5 クレイン守口</v>
      </c>
      <c r="D123" s="4" t="s">
        <v>433</v>
      </c>
      <c r="E123" s="4" t="s">
        <v>434</v>
      </c>
      <c r="F123" s="4" t="s">
        <v>48</v>
      </c>
      <c r="G123" s="4" t="s">
        <v>435</v>
      </c>
      <c r="H123" s="4" t="s">
        <v>9</v>
      </c>
      <c r="I123" s="4" t="s">
        <v>10</v>
      </c>
      <c r="J123" s="5"/>
      <c r="K123" s="4" t="s">
        <v>379</v>
      </c>
      <c r="L123" s="5"/>
    </row>
    <row r="124">
      <c r="A124" s="2" t="str">
        <f>IFERROR(__xludf.DUMMYFUNCTION("REGEXEXTRACT(G124, ""^[^都道府県]+[都道府県]"")
"),"大阪府")</f>
        <v>大阪府</v>
      </c>
      <c r="B124" s="4" t="str">
        <f>IFERROR(__xludf.DUMMYFUNCTION("REGEXEXTRACT(G124, ""^[^都道府県]+[都道府県]([^0-9]+?[市区町村]+)"")
"),"守口市")</f>
        <v>守口市</v>
      </c>
      <c r="C124" s="4" t="str">
        <f t="shared" si="1"/>
        <v>大阪府守口市春日町1-19 アドヴァンテージ守口</v>
      </c>
      <c r="D124" s="4" t="s">
        <v>436</v>
      </c>
      <c r="E124" s="4" t="s">
        <v>437</v>
      </c>
      <c r="F124" s="4" t="s">
        <v>243</v>
      </c>
      <c r="G124" s="4" t="s">
        <v>438</v>
      </c>
      <c r="H124" s="4" t="s">
        <v>9</v>
      </c>
      <c r="I124" s="5"/>
      <c r="J124" s="5"/>
      <c r="K124" s="5"/>
      <c r="L124" s="5"/>
    </row>
    <row r="125">
      <c r="A125" s="2" t="str">
        <f>IFERROR(__xludf.DUMMYFUNCTION("REGEXEXTRACT(G125, ""^[^都道府県]+[都道府県]"")
"),"大阪府")</f>
        <v>大阪府</v>
      </c>
      <c r="B125" s="4" t="str">
        <f>IFERROR(__xludf.DUMMYFUNCTION("REGEXEXTRACT(G125, ""^[^都道府県]+[都道府県]([^0-9]+?[市区町村]+)"")
"),"吹田市")</f>
        <v>吹田市</v>
      </c>
      <c r="C125" s="4" t="str">
        <f t="shared" si="1"/>
        <v>大阪府吹田市江の木町17-16 アーデン江坂</v>
      </c>
      <c r="D125" s="4" t="s">
        <v>439</v>
      </c>
      <c r="E125" s="4" t="s">
        <v>440</v>
      </c>
      <c r="F125" s="4" t="s">
        <v>15</v>
      </c>
      <c r="G125" s="4" t="s">
        <v>441</v>
      </c>
      <c r="H125" s="4" t="s">
        <v>17</v>
      </c>
      <c r="I125" s="5"/>
      <c r="J125" s="5"/>
      <c r="K125" s="4" t="s">
        <v>442</v>
      </c>
      <c r="L125" s="5"/>
    </row>
    <row r="126">
      <c r="A126" s="2" t="str">
        <f>IFERROR(__xludf.DUMMYFUNCTION("REGEXEXTRACT(G126, ""^[^都道府県]+[都道府県]"")
"),"大阪府")</f>
        <v>大阪府</v>
      </c>
      <c r="B126" s="4" t="str">
        <f>IFERROR(__xludf.DUMMYFUNCTION("REGEXEXTRACT(G126, ""^[^都道府県]+[都道府県]([^0-9]+?[市区町村]+)"")
"),"松原市")</f>
        <v>松原市</v>
      </c>
      <c r="C126" s="4" t="str">
        <f t="shared" si="1"/>
        <v>大阪府松原市上田1-4-8 ふぁみーゆ上田III</v>
      </c>
      <c r="D126" s="4" t="s">
        <v>443</v>
      </c>
      <c r="E126" s="4" t="s">
        <v>444</v>
      </c>
      <c r="F126" s="4" t="s">
        <v>48</v>
      </c>
      <c r="G126" s="4" t="s">
        <v>445</v>
      </c>
      <c r="H126" s="4" t="s">
        <v>58</v>
      </c>
      <c r="I126" s="4" t="s">
        <v>44</v>
      </c>
      <c r="J126" s="4" t="s">
        <v>11</v>
      </c>
      <c r="K126" s="5"/>
      <c r="L126" s="5"/>
    </row>
    <row r="127">
      <c r="A127" s="2" t="str">
        <f>IFERROR(__xludf.DUMMYFUNCTION("REGEXEXTRACT(G127, ""^[^都道府県]+[都道府県]"")
"),"愛知県")</f>
        <v>愛知県</v>
      </c>
      <c r="B127" s="4" t="str">
        <f>IFERROR(__xludf.DUMMYFUNCTION("REGEXEXTRACT(G127, ""^[^都道府県]+[都道府県]([^0-9]+?[市区町村]+)"")
"),"名古屋市")</f>
        <v>名古屋市</v>
      </c>
      <c r="C127" s="4" t="str">
        <f t="shared" si="1"/>
        <v>愛知県名古屋市天白区植田3-1701 よし司マンションワイズビル</v>
      </c>
      <c r="D127" s="4" t="s">
        <v>446</v>
      </c>
      <c r="E127" s="4" t="s">
        <v>447</v>
      </c>
      <c r="F127" s="4" t="s">
        <v>101</v>
      </c>
      <c r="G127" s="4" t="s">
        <v>448</v>
      </c>
      <c r="H127" s="4" t="s">
        <v>17</v>
      </c>
      <c r="I127" s="4" t="s">
        <v>10</v>
      </c>
      <c r="J127" s="4" t="s">
        <v>18</v>
      </c>
      <c r="K127" s="5"/>
      <c r="L127" s="5"/>
    </row>
    <row r="128">
      <c r="A128" s="2" t="str">
        <f>IFERROR(__xludf.DUMMYFUNCTION("REGEXEXTRACT(G128, ""^[^都道府県]+[都道府県]"")
"),"愛知県")</f>
        <v>愛知県</v>
      </c>
      <c r="B128" s="4" t="str">
        <f>IFERROR(__xludf.DUMMYFUNCTION("REGEXEXTRACT(G128, ""^[^都道府県]+[都道府県]([^0-9]+?[市区町村]+)"")
"),"名古屋市")</f>
        <v>名古屋市</v>
      </c>
      <c r="C128" s="4" t="str">
        <f t="shared" si="1"/>
        <v>愛知県名古屋市名東区一社1-125 アサノビル</v>
      </c>
      <c r="D128" s="4" t="s">
        <v>449</v>
      </c>
      <c r="E128" s="4" t="s">
        <v>450</v>
      </c>
      <c r="F128" s="4" t="s">
        <v>15</v>
      </c>
      <c r="G128" s="4" t="s">
        <v>451</v>
      </c>
      <c r="H128" s="4" t="s">
        <v>94</v>
      </c>
      <c r="I128" s="4" t="s">
        <v>10</v>
      </c>
      <c r="J128" s="4" t="s">
        <v>18</v>
      </c>
      <c r="K128" s="4" t="s">
        <v>452</v>
      </c>
      <c r="L128" s="5"/>
    </row>
    <row r="129">
      <c r="A129" s="2" t="str">
        <f>IFERROR(__xludf.DUMMYFUNCTION("REGEXEXTRACT(G129, ""^[^都道府県]+[都道府県]"")
"),"愛知県")</f>
        <v>愛知県</v>
      </c>
      <c r="B129" s="4" t="str">
        <f>IFERROR(__xludf.DUMMYFUNCTION("REGEXEXTRACT(G129, ""^[^都道府県]+[都道府県]([^0-9]+?[市区町村]+)"")
"),"名古屋市")</f>
        <v>名古屋市</v>
      </c>
      <c r="C129" s="4" t="str">
        <f t="shared" si="1"/>
        <v>愛知県名古屋市名東区八前1-202 京和コーポ</v>
      </c>
      <c r="D129" s="4" t="s">
        <v>453</v>
      </c>
      <c r="E129" s="4" t="s">
        <v>454</v>
      </c>
      <c r="F129" s="4" t="s">
        <v>15</v>
      </c>
      <c r="G129" s="4" t="s">
        <v>455</v>
      </c>
      <c r="H129" s="4" t="s">
        <v>58</v>
      </c>
      <c r="I129" s="4" t="s">
        <v>10</v>
      </c>
      <c r="J129" s="4" t="s">
        <v>18</v>
      </c>
      <c r="K129" s="4" t="s">
        <v>456</v>
      </c>
      <c r="L129" s="5"/>
    </row>
    <row r="130">
      <c r="A130" s="2" t="str">
        <f>IFERROR(__xludf.DUMMYFUNCTION("REGEXEXTRACT(G130, ""^[^都道府県]+[都道府県]"")
"),"愛知県")</f>
        <v>愛知県</v>
      </c>
      <c r="B130" s="4" t="str">
        <f>IFERROR(__xludf.DUMMYFUNCTION("REGEXEXTRACT(G130, ""^[^都道府県]+[都道府県]([^0-9]+?[市区町村]+)"")
"),"名古屋市")</f>
        <v>名古屋市</v>
      </c>
      <c r="C130" s="4" t="str">
        <f t="shared" si="1"/>
        <v>愛知県名古屋市南区柴田町3-22 ラディアント柴田</v>
      </c>
      <c r="D130" s="4" t="s">
        <v>457</v>
      </c>
      <c r="E130" s="4" t="s">
        <v>458</v>
      </c>
      <c r="F130" s="4" t="s">
        <v>15</v>
      </c>
      <c r="G130" s="4" t="s">
        <v>459</v>
      </c>
      <c r="H130" s="4" t="s">
        <v>168</v>
      </c>
      <c r="I130" s="4" t="s">
        <v>10</v>
      </c>
      <c r="J130" s="4" t="s">
        <v>18</v>
      </c>
      <c r="K130" s="5"/>
      <c r="L130" s="5"/>
    </row>
    <row r="131">
      <c r="A131" s="2" t="str">
        <f>IFERROR(__xludf.DUMMYFUNCTION("REGEXEXTRACT(G131, ""^[^都道府県]+[都道府県]"")
"),"愛知県")</f>
        <v>愛知県</v>
      </c>
      <c r="B131" s="4" t="str">
        <f>IFERROR(__xludf.DUMMYFUNCTION("REGEXEXTRACT(G131, ""^[^都道府県]+[都道府県]([^0-9]+?[市区町村]+)"")
"),"名古屋市")</f>
        <v>名古屋市</v>
      </c>
      <c r="C131" s="4" t="str">
        <f t="shared" si="1"/>
        <v>愛知県名古屋市中区正木4丁目8-8 メゾン金山</v>
      </c>
      <c r="D131" s="4" t="s">
        <v>460</v>
      </c>
      <c r="E131" s="4" t="s">
        <v>461</v>
      </c>
      <c r="F131" s="4" t="s">
        <v>15</v>
      </c>
      <c r="G131" s="4" t="s">
        <v>462</v>
      </c>
      <c r="H131" s="4" t="s">
        <v>113</v>
      </c>
      <c r="I131" s="4" t="s">
        <v>44</v>
      </c>
      <c r="J131" s="5"/>
      <c r="K131" s="5"/>
      <c r="L131" s="5"/>
    </row>
    <row r="132">
      <c r="A132" s="2" t="str">
        <f>IFERROR(__xludf.DUMMYFUNCTION("REGEXEXTRACT(G132, ""^[^都道府県]+[都道府県]"")
"),"愛知県")</f>
        <v>愛知県</v>
      </c>
      <c r="B132" s="4" t="str">
        <f>IFERROR(__xludf.DUMMYFUNCTION("REGEXEXTRACT(G132, ""^[^都道府県]+[都道府県]([^0-9]+?[市区町村]+)"")
"),"名古屋市")</f>
        <v>名古屋市</v>
      </c>
      <c r="C132" s="4" t="str">
        <f t="shared" si="1"/>
        <v>愛知県名古屋市中村区則武2丁目26-15 マンション則武</v>
      </c>
      <c r="D132" s="5"/>
      <c r="E132" s="4" t="s">
        <v>463</v>
      </c>
      <c r="F132" s="4" t="s">
        <v>15</v>
      </c>
      <c r="G132" s="4" t="s">
        <v>464</v>
      </c>
      <c r="H132" s="4" t="s">
        <v>58</v>
      </c>
      <c r="I132" s="4" t="s">
        <v>44</v>
      </c>
      <c r="J132" s="4" t="s">
        <v>11</v>
      </c>
      <c r="K132" s="5"/>
      <c r="L132" s="5"/>
    </row>
    <row r="133">
      <c r="A133" s="2" t="str">
        <f>IFERROR(__xludf.DUMMYFUNCTION("REGEXEXTRACT(G133, ""^[^都道府県]+[都道府県]"")
"),"愛知県")</f>
        <v>愛知県</v>
      </c>
      <c r="B133" s="4" t="str">
        <f>IFERROR(__xludf.DUMMYFUNCTION("REGEXEXTRACT(G133, ""^[^都道府県]+[都道府県]([^0-9]+?[市区町村]+)"")
"),"名古屋市")</f>
        <v>名古屋市</v>
      </c>
      <c r="C133" s="4" t="str">
        <f t="shared" si="1"/>
        <v>愛知県名古屋市中川区高畑3-40 ブラザービル</v>
      </c>
      <c r="D133" s="4" t="s">
        <v>465</v>
      </c>
      <c r="E133" s="4" t="s">
        <v>466</v>
      </c>
      <c r="F133" s="4" t="s">
        <v>15</v>
      </c>
      <c r="G133" s="4" t="s">
        <v>467</v>
      </c>
      <c r="H133" s="4" t="s">
        <v>58</v>
      </c>
      <c r="I133" s="4" t="s">
        <v>10</v>
      </c>
      <c r="J133" s="4" t="s">
        <v>18</v>
      </c>
      <c r="K133" s="5"/>
      <c r="L133" s="5"/>
    </row>
    <row r="134">
      <c r="A134" s="2" t="str">
        <f>IFERROR(__xludf.DUMMYFUNCTION("REGEXEXTRACT(G134, ""^[^都道府県]+[都道府県]"")
"),"愛知県")</f>
        <v>愛知県</v>
      </c>
      <c r="B134" s="4" t="str">
        <f>IFERROR(__xludf.DUMMYFUNCTION("REGEXEXTRACT(G134, ""^[^都道府県]+[都道府県]([^0-9]+?[市区町村]+)"")
"),"名古屋市")</f>
        <v>名古屋市</v>
      </c>
      <c r="C134" s="4" t="str">
        <f t="shared" si="1"/>
        <v>愛知県名古屋市北区若葉通1丁目21 メゾンコロル</v>
      </c>
      <c r="D134" s="4" t="s">
        <v>468</v>
      </c>
      <c r="E134" s="4" t="s">
        <v>469</v>
      </c>
      <c r="F134" s="4" t="s">
        <v>15</v>
      </c>
      <c r="G134" s="4" t="s">
        <v>470</v>
      </c>
      <c r="H134" s="4" t="s">
        <v>94</v>
      </c>
      <c r="I134" s="4" t="s">
        <v>10</v>
      </c>
      <c r="J134" s="4" t="s">
        <v>18</v>
      </c>
      <c r="K134" s="5"/>
      <c r="L134" s="5"/>
    </row>
    <row r="135">
      <c r="A135" s="2" t="str">
        <f>IFERROR(__xludf.DUMMYFUNCTION("REGEXEXTRACT(G135, ""^[^都道府県]+[都道府県]"")
"),"愛知県")</f>
        <v>愛知県</v>
      </c>
      <c r="B135" s="4" t="str">
        <f>IFERROR(__xludf.DUMMYFUNCTION("REGEXEXTRACT(G135, ""^[^都道府県]+[都道府県]([^0-9]+?[市区町村]+)"")
"),"名古屋市")</f>
        <v>名古屋市</v>
      </c>
      <c r="C135" s="4" t="str">
        <f t="shared" si="1"/>
        <v>愛知県名古屋市西区上小田井1-47 ブルーウェーブマンショ</v>
      </c>
      <c r="D135" s="4" t="s">
        <v>471</v>
      </c>
      <c r="E135" s="4" t="s">
        <v>472</v>
      </c>
      <c r="F135" s="4" t="s">
        <v>15</v>
      </c>
      <c r="G135" s="4" t="s">
        <v>473</v>
      </c>
      <c r="H135" s="4" t="s">
        <v>17</v>
      </c>
      <c r="I135" s="4" t="s">
        <v>10</v>
      </c>
      <c r="J135" s="5"/>
      <c r="K135" s="4" t="s">
        <v>151</v>
      </c>
      <c r="L135" s="5"/>
    </row>
    <row r="136">
      <c r="A136" s="2" t="str">
        <f>IFERROR(__xludf.DUMMYFUNCTION("REGEXEXTRACT(G136, ""^[^都道府県]+[都道府県]"")
"),"愛知県")</f>
        <v>愛知県</v>
      </c>
      <c r="B136" s="4" t="str">
        <f>IFERROR(__xludf.DUMMYFUNCTION("REGEXEXTRACT(G136, ""^[^都道府県]+[都道府県]([^0-9]+?[市区町村]+)"")
"),"名古屋市")</f>
        <v>名古屋市</v>
      </c>
      <c r="C136" s="4" t="str">
        <f t="shared" si="1"/>
        <v>愛知県名古屋市緑区鳴海町京田23 エステート鳴海</v>
      </c>
      <c r="D136" s="4" t="s">
        <v>474</v>
      </c>
      <c r="E136" s="4" t="s">
        <v>475</v>
      </c>
      <c r="F136" s="4" t="s">
        <v>15</v>
      </c>
      <c r="G136" s="4" t="s">
        <v>476</v>
      </c>
      <c r="H136" s="4" t="s">
        <v>9</v>
      </c>
      <c r="I136" s="4" t="s">
        <v>44</v>
      </c>
      <c r="J136" s="4" t="s">
        <v>18</v>
      </c>
      <c r="K136" s="4" t="s">
        <v>477</v>
      </c>
      <c r="L136" s="5"/>
    </row>
    <row r="137">
      <c r="A137" s="2" t="str">
        <f>IFERROR(__xludf.DUMMYFUNCTION("REGEXEXTRACT(G137, ""^[^都道府県]+[都道府県]"")
"),"愛知県")</f>
        <v>愛知県</v>
      </c>
      <c r="B137" s="4" t="str">
        <f>IFERROR(__xludf.DUMMYFUNCTION("REGEXEXTRACT(G137, ""^[^都道府県]+[都道府県]([^0-9]+?[市区町村]+)"")
"),"名古屋市")</f>
        <v>名古屋市</v>
      </c>
      <c r="C137" s="4" t="str">
        <f t="shared" si="1"/>
        <v>愛知県名古屋市港区名港1丁目1-19 三旺ポートタウン港</v>
      </c>
      <c r="D137" s="4" t="s">
        <v>478</v>
      </c>
      <c r="E137" s="4" t="s">
        <v>479</v>
      </c>
      <c r="F137" s="4" t="s">
        <v>15</v>
      </c>
      <c r="G137" s="4" t="s">
        <v>480</v>
      </c>
      <c r="H137" s="4" t="s">
        <v>17</v>
      </c>
      <c r="I137" s="4" t="s">
        <v>44</v>
      </c>
      <c r="J137" s="5"/>
      <c r="K137" s="4" t="s">
        <v>481</v>
      </c>
      <c r="L137" s="5"/>
    </row>
    <row r="138">
      <c r="A138" s="2" t="str">
        <f>IFERROR(__xludf.DUMMYFUNCTION("REGEXEXTRACT(G138, ""^[^都道府県]+[都道府県]"")
"),"愛知県")</f>
        <v>愛知県</v>
      </c>
      <c r="B138" s="4" t="str">
        <f>IFERROR(__xludf.DUMMYFUNCTION("REGEXEXTRACT(G138, ""^[^都道府県]+[都道府県]([^0-9]+?[市区町村]+)"")
"),"春日井市")</f>
        <v>春日井市</v>
      </c>
      <c r="C138" s="4" t="str">
        <f t="shared" si="1"/>
        <v>愛知県春日井市味美白山町1-1-12 南館エスト味美マンション</v>
      </c>
      <c r="D138" s="4" t="s">
        <v>482</v>
      </c>
      <c r="E138" s="4" t="s">
        <v>483</v>
      </c>
      <c r="F138" s="4" t="s">
        <v>15</v>
      </c>
      <c r="G138" s="4" t="s">
        <v>484</v>
      </c>
      <c r="H138" s="4" t="s">
        <v>94</v>
      </c>
      <c r="I138" s="4" t="s">
        <v>10</v>
      </c>
      <c r="J138" s="4" t="s">
        <v>18</v>
      </c>
      <c r="K138" s="4" t="s">
        <v>452</v>
      </c>
      <c r="L138" s="5"/>
    </row>
    <row r="139">
      <c r="A139" s="2" t="str">
        <f>IFERROR(__xludf.DUMMYFUNCTION("REGEXEXTRACT(G139, ""^[^都道府県]+[都道府県]"")
"),"愛知県")</f>
        <v>愛知県</v>
      </c>
      <c r="B139" s="4" t="str">
        <f>IFERROR(__xludf.DUMMYFUNCTION("REGEXEXTRACT(G139, ""^[^都道府県]+[都道府県]([^0-9]+?[市区町村]+)"")
"),"春日井市")</f>
        <v>春日井市</v>
      </c>
      <c r="C139" s="4" t="str">
        <f t="shared" si="1"/>
        <v>愛知県春日井市高蔵寺町北2-54 レイクサイドマンションカサイ</v>
      </c>
      <c r="D139" s="4" t="s">
        <v>485</v>
      </c>
      <c r="E139" s="4" t="s">
        <v>486</v>
      </c>
      <c r="F139" s="4" t="s">
        <v>226</v>
      </c>
      <c r="G139" s="4" t="s">
        <v>487</v>
      </c>
      <c r="H139" s="4" t="s">
        <v>9</v>
      </c>
      <c r="I139" s="4" t="s">
        <v>10</v>
      </c>
      <c r="J139" s="4" t="s">
        <v>11</v>
      </c>
      <c r="K139" s="4" t="s">
        <v>488</v>
      </c>
      <c r="L139" s="5"/>
    </row>
    <row r="140">
      <c r="A140" s="2" t="str">
        <f>IFERROR(__xludf.DUMMYFUNCTION("REGEXEXTRACT(G140, ""^[^都道府県]+[都道府県]"")
"),"愛知県")</f>
        <v>愛知県</v>
      </c>
      <c r="B140" s="4" t="str">
        <f>IFERROR(__xludf.DUMMYFUNCTION("REGEXEXTRACT(G140, ""^[^都道府県]+[都道府県]([^0-9]+?[市区町村]+)"")
"),"春日井市")</f>
        <v>春日井市</v>
      </c>
      <c r="C140" s="4" t="str">
        <f t="shared" si="1"/>
        <v>愛知県春日井市八幡町35-1 ニューブラウンハイツ</v>
      </c>
      <c r="D140" s="4" t="s">
        <v>489</v>
      </c>
      <c r="E140" s="4" t="s">
        <v>490</v>
      </c>
      <c r="F140" s="4" t="s">
        <v>15</v>
      </c>
      <c r="G140" s="4" t="s">
        <v>491</v>
      </c>
      <c r="H140" s="4" t="s">
        <v>58</v>
      </c>
      <c r="I140" s="4" t="s">
        <v>10</v>
      </c>
      <c r="J140" s="4" t="s">
        <v>18</v>
      </c>
      <c r="K140" s="5"/>
      <c r="L140" s="5"/>
    </row>
    <row r="141">
      <c r="A141" s="2" t="str">
        <f>IFERROR(__xludf.DUMMYFUNCTION("REGEXEXTRACT(G141, ""^[^都道府県]+[都道府県]"")
"),"愛知県")</f>
        <v>愛知県</v>
      </c>
      <c r="B141" s="4" t="str">
        <f>IFERROR(__xludf.DUMMYFUNCTION("REGEXEXTRACT(G141, ""^[^都道府県]+[都道府県]([^0-9]+?[市区町村]+)"")
"),"小牧市")</f>
        <v>小牧市</v>
      </c>
      <c r="C141" s="4" t="str">
        <f t="shared" si="1"/>
        <v>愛知県小牧市中央1丁目456 ウォンキー91</v>
      </c>
      <c r="D141" s="4" t="s">
        <v>492</v>
      </c>
      <c r="E141" s="4" t="s">
        <v>493</v>
      </c>
      <c r="F141" s="4" t="s">
        <v>85</v>
      </c>
      <c r="G141" s="4" t="s">
        <v>494</v>
      </c>
      <c r="H141" s="4" t="s">
        <v>58</v>
      </c>
      <c r="I141" s="4" t="s">
        <v>10</v>
      </c>
      <c r="J141" s="4" t="s">
        <v>11</v>
      </c>
      <c r="K141" s="5"/>
      <c r="L141" s="5"/>
    </row>
    <row r="142">
      <c r="A142" s="2" t="str">
        <f>IFERROR(__xludf.DUMMYFUNCTION("REGEXEXTRACT(G142, ""^[^都道府県]+[都道府県]"")
"),"愛知県")</f>
        <v>愛知県</v>
      </c>
      <c r="B142" s="4" t="str">
        <f>IFERROR(__xludf.DUMMYFUNCTION("REGEXEXTRACT(G142, ""^[^都道府県]+[都道府県]([^0-9]+?[市区町村]+)"")
"),"小牧市")</f>
        <v>小牧市</v>
      </c>
      <c r="C142" s="4" t="str">
        <f t="shared" si="1"/>
        <v>愛知県小牧市小牧1-254 第2メゾンたけ宗</v>
      </c>
      <c r="D142" s="4" t="s">
        <v>495</v>
      </c>
      <c r="E142" s="4" t="s">
        <v>496</v>
      </c>
      <c r="F142" s="4" t="s">
        <v>101</v>
      </c>
      <c r="G142" s="4" t="s">
        <v>497</v>
      </c>
      <c r="H142" s="4" t="s">
        <v>9</v>
      </c>
      <c r="I142" s="4" t="s">
        <v>10</v>
      </c>
      <c r="J142" s="4" t="s">
        <v>18</v>
      </c>
      <c r="K142" s="5"/>
      <c r="L142" s="5"/>
    </row>
    <row r="143">
      <c r="A143" s="2" t="str">
        <f>IFERROR(__xludf.DUMMYFUNCTION("REGEXEXTRACT(G143, ""^[^都道府県]+[都道府県]"")
"),"愛知県")</f>
        <v>愛知県</v>
      </c>
      <c r="B143" s="4" t="str">
        <f>IFERROR(__xludf.DUMMYFUNCTION("REGEXEXTRACT(G143, ""^[^都道府県]+[都道府県]([^0-9]+?[市区町村]+)"")
"),"一宮市")</f>
        <v>一宮市</v>
      </c>
      <c r="C143" s="4" t="str">
        <f t="shared" si="1"/>
        <v>愛知県一宮市佐千原南切野6-1 レジデンス野村</v>
      </c>
      <c r="D143" s="4" t="s">
        <v>498</v>
      </c>
      <c r="E143" s="4" t="s">
        <v>499</v>
      </c>
      <c r="F143" s="4" t="s">
        <v>15</v>
      </c>
      <c r="G143" s="4" t="s">
        <v>500</v>
      </c>
      <c r="H143" s="4" t="s">
        <v>17</v>
      </c>
      <c r="I143" s="4" t="s">
        <v>10</v>
      </c>
      <c r="J143" s="4" t="s">
        <v>18</v>
      </c>
      <c r="K143" s="4" t="s">
        <v>501</v>
      </c>
      <c r="L143" s="5"/>
    </row>
    <row r="144">
      <c r="A144" s="2" t="str">
        <f>IFERROR(__xludf.DUMMYFUNCTION("REGEXEXTRACT(G144, ""^[^都道府県]+[都道府県]"")
"),"愛知県")</f>
        <v>愛知県</v>
      </c>
      <c r="B144" s="4" t="str">
        <f>IFERROR(__xludf.DUMMYFUNCTION("REGEXEXTRACT(G144, ""^[^都道府県]+[都道府県]([^0-9]+?[市区町村]+)"")
"),"一宮市")</f>
        <v>一宮市</v>
      </c>
      <c r="C144" s="4" t="str">
        <f t="shared" si="1"/>
        <v>愛知県一宮市白旗通4-9 グランドール白旗</v>
      </c>
      <c r="D144" s="4" t="s">
        <v>502</v>
      </c>
      <c r="E144" s="4" t="s">
        <v>503</v>
      </c>
      <c r="F144" s="4" t="s">
        <v>504</v>
      </c>
      <c r="G144" s="4" t="s">
        <v>505</v>
      </c>
      <c r="H144" s="4" t="s">
        <v>9</v>
      </c>
      <c r="I144" s="4" t="s">
        <v>10</v>
      </c>
      <c r="J144" s="4" t="s">
        <v>18</v>
      </c>
      <c r="K144" s="5"/>
      <c r="L144" s="5"/>
    </row>
    <row r="145">
      <c r="A145" s="2" t="str">
        <f>IFERROR(__xludf.DUMMYFUNCTION("REGEXEXTRACT(G145, ""^[^都道府県]+[都道府県]"")
"),"愛知県")</f>
        <v>愛知県</v>
      </c>
      <c r="B145" s="4" t="str">
        <f>IFERROR(__xludf.DUMMYFUNCTION("REGEXEXTRACT(G145, ""^[^都道府県]+[都道府県]([^0-9]+?[市区町村]+)"")
"),"刈谷市")</f>
        <v>刈谷市</v>
      </c>
      <c r="C145" s="4" t="str">
        <f t="shared" si="1"/>
        <v>愛知県刈谷市一ツ木町4丁目5-14 ジュネスS・T</v>
      </c>
      <c r="D145" s="4" t="s">
        <v>506</v>
      </c>
      <c r="E145" s="4" t="s">
        <v>507</v>
      </c>
      <c r="F145" s="4" t="s">
        <v>97</v>
      </c>
      <c r="G145" s="4" t="s">
        <v>508</v>
      </c>
      <c r="H145" s="4" t="s">
        <v>17</v>
      </c>
      <c r="I145" s="4" t="s">
        <v>10</v>
      </c>
      <c r="J145" s="4" t="s">
        <v>18</v>
      </c>
      <c r="K145" s="4" t="s">
        <v>151</v>
      </c>
      <c r="L145" s="5"/>
    </row>
    <row r="146">
      <c r="A146" s="2" t="str">
        <f>IFERROR(__xludf.DUMMYFUNCTION("REGEXEXTRACT(G146, ""^[^都道府県]+[都道府県]"")
"),"愛知県")</f>
        <v>愛知県</v>
      </c>
      <c r="B146" s="4" t="str">
        <f>IFERROR(__xludf.DUMMYFUNCTION("REGEXEXTRACT(G146, ""^[^都道府県]+[都道府県]([^0-9]+?[市区町村]+)"")
"),"豊橋市")</f>
        <v>豊橋市</v>
      </c>
      <c r="C146" s="4" t="str">
        <f t="shared" si="1"/>
        <v>愛知県豊橋市新栄町南小向101-1 メゾンソレイユ</v>
      </c>
      <c r="D146" s="4" t="s">
        <v>509</v>
      </c>
      <c r="E146" s="4" t="s">
        <v>510</v>
      </c>
      <c r="F146" s="4" t="s">
        <v>15</v>
      </c>
      <c r="G146" s="4" t="s">
        <v>511</v>
      </c>
      <c r="H146" s="4" t="s">
        <v>168</v>
      </c>
      <c r="I146" s="4" t="s">
        <v>10</v>
      </c>
      <c r="J146" s="4" t="s">
        <v>18</v>
      </c>
      <c r="K146" s="5"/>
      <c r="L146" s="5"/>
    </row>
    <row r="147">
      <c r="A147" s="2" t="str">
        <f>IFERROR(__xludf.DUMMYFUNCTION("REGEXEXTRACT(G147, ""^[^都道府県]+[都道府県]"")
"),"愛知県")</f>
        <v>愛知県</v>
      </c>
      <c r="B147" s="4" t="str">
        <f>IFERROR(__xludf.DUMMYFUNCTION("REGEXEXTRACT(G147, ""^[^都道府県]+[都道府県]([^0-9]+?[市区町村]+)"")
"),"豊橋市")</f>
        <v>豊橋市</v>
      </c>
      <c r="C147" s="4" t="str">
        <f t="shared" si="1"/>
        <v>愛知県豊橋市菰口町3-95 第5フクマルビル</v>
      </c>
      <c r="D147" s="4" t="s">
        <v>512</v>
      </c>
      <c r="E147" s="4" t="s">
        <v>513</v>
      </c>
      <c r="F147" s="4" t="s">
        <v>15</v>
      </c>
      <c r="G147" s="4" t="s">
        <v>514</v>
      </c>
      <c r="H147" s="4" t="s">
        <v>168</v>
      </c>
      <c r="I147" s="4" t="s">
        <v>10</v>
      </c>
      <c r="J147" s="4" t="s">
        <v>18</v>
      </c>
      <c r="K147" s="5"/>
      <c r="L147" s="5"/>
    </row>
    <row r="148">
      <c r="A148" s="2" t="str">
        <f>IFERROR(__xludf.DUMMYFUNCTION("REGEXEXTRACT(G148, ""^[^都道府県]+[都道府県]"")
"),"愛知県")</f>
        <v>愛知県</v>
      </c>
      <c r="B148" s="4" t="str">
        <f>IFERROR(__xludf.DUMMYFUNCTION("REGEXEXTRACT(G148, ""^[^都道府県]+[都道府県]([^0-9]+?[市区町村]+)"")
"),"豊川市")</f>
        <v>豊川市</v>
      </c>
      <c r="C148" s="4" t="str">
        <f t="shared" si="1"/>
        <v>愛知県豊川市平尾町神田64-1 ル・ボア大黒平尾A</v>
      </c>
      <c r="D148" s="4" t="s">
        <v>515</v>
      </c>
      <c r="E148" s="4" t="s">
        <v>516</v>
      </c>
      <c r="F148" s="4" t="s">
        <v>15</v>
      </c>
      <c r="G148" s="4" t="s">
        <v>517</v>
      </c>
      <c r="H148" s="4" t="s">
        <v>17</v>
      </c>
      <c r="I148" s="4" t="s">
        <v>44</v>
      </c>
      <c r="J148" s="4" t="s">
        <v>18</v>
      </c>
      <c r="K148" s="4" t="s">
        <v>518</v>
      </c>
      <c r="L148" s="4" t="s">
        <v>519</v>
      </c>
    </row>
    <row r="149">
      <c r="A149" s="2" t="str">
        <f>IFERROR(__xludf.DUMMYFUNCTION("REGEXEXTRACT(G149, ""^[^都道府県]+[都道府県]"")
"),"愛知県")</f>
        <v>愛知県</v>
      </c>
      <c r="B149" s="4" t="str">
        <f>IFERROR(__xludf.DUMMYFUNCTION("REGEXEXTRACT(G149, ""^[^都道府県]+[都道府県]([^0-9]+?[市区町村]+)"")
"),"豊明市")</f>
        <v>豊明市</v>
      </c>
      <c r="C149" s="4" t="str">
        <f t="shared" si="1"/>
        <v>愛知県豊明市三崎町高鴨7-1 セブンワン</v>
      </c>
      <c r="D149" s="4" t="s">
        <v>520</v>
      </c>
      <c r="E149" s="4" t="s">
        <v>521</v>
      </c>
      <c r="F149" s="4" t="s">
        <v>97</v>
      </c>
      <c r="G149" s="4" t="s">
        <v>522</v>
      </c>
      <c r="H149" s="4" t="s">
        <v>58</v>
      </c>
      <c r="I149" s="4" t="s">
        <v>10</v>
      </c>
      <c r="J149" s="4" t="s">
        <v>18</v>
      </c>
      <c r="K149" s="4" t="s">
        <v>523</v>
      </c>
      <c r="L149" s="5"/>
    </row>
    <row r="150">
      <c r="A150" s="2" t="str">
        <f>IFERROR(__xludf.DUMMYFUNCTION("REGEXEXTRACT(G150, ""^[^都道府県]+[都道府県]"")
"),"愛知県")</f>
        <v>愛知県</v>
      </c>
      <c r="B150" s="4" t="str">
        <f>IFERROR(__xludf.DUMMYFUNCTION("REGEXEXTRACT(G150, ""^[^都道府県]+[都道府県]([^0-9]+?[市区町村]+)"")
"),"西尾市")</f>
        <v>西尾市</v>
      </c>
      <c r="C150" s="4" t="str">
        <f t="shared" si="1"/>
        <v>愛知県西尾市丁田町杢左62 ファミール丁田</v>
      </c>
      <c r="D150" s="4" t="s">
        <v>524</v>
      </c>
      <c r="E150" s="4" t="s">
        <v>525</v>
      </c>
      <c r="F150" s="4" t="s">
        <v>48</v>
      </c>
      <c r="G150" s="4" t="s">
        <v>526</v>
      </c>
      <c r="H150" s="4" t="s">
        <v>168</v>
      </c>
      <c r="I150" s="5"/>
      <c r="J150" s="5"/>
      <c r="K150" s="4" t="s">
        <v>527</v>
      </c>
      <c r="L150" s="5"/>
    </row>
    <row r="151">
      <c r="A151" s="2" t="str">
        <f>IFERROR(__xludf.DUMMYFUNCTION("REGEXEXTRACT(G151, ""^[^都道府県]+[都道府県]"")
"),"愛知県")</f>
        <v>愛知県</v>
      </c>
      <c r="B151" s="4" t="str">
        <f>IFERROR(__xludf.DUMMYFUNCTION("REGEXEXTRACT(G151, ""^[^都道府県]+[都道府県]([^0-9]+?[市区町村]+)"")
"),"安城市")</f>
        <v>安城市</v>
      </c>
      <c r="C151" s="4" t="str">
        <f t="shared" si="1"/>
        <v>愛知県安城市三河安城町2-9-1 桜路マンション</v>
      </c>
      <c r="D151" s="4" t="s">
        <v>528</v>
      </c>
      <c r="E151" s="4" t="s">
        <v>529</v>
      </c>
      <c r="F151" s="4" t="s">
        <v>15</v>
      </c>
      <c r="G151" s="4" t="s">
        <v>530</v>
      </c>
      <c r="H151" s="4" t="s">
        <v>58</v>
      </c>
      <c r="I151" s="4" t="s">
        <v>10</v>
      </c>
      <c r="J151" s="4" t="s">
        <v>18</v>
      </c>
      <c r="K151" s="5"/>
      <c r="L151" s="5"/>
    </row>
    <row r="152">
      <c r="A152" s="2" t="str">
        <f>IFERROR(__xludf.DUMMYFUNCTION("REGEXEXTRACT(G152, ""^[^都道府県]+[都道府県]"")
"),"愛知県")</f>
        <v>愛知県</v>
      </c>
      <c r="B152" s="4" t="str">
        <f>IFERROR(__xludf.DUMMYFUNCTION("REGEXEXTRACT(G152, ""^[^都道府県]+[都道府県]([^0-9]+?[市区町村]+)"")
"),"半田市")</f>
        <v>半田市</v>
      </c>
      <c r="C152" s="4" t="str">
        <f t="shared" si="1"/>
        <v>愛知県半田市乙川太田町2-87-2</v>
      </c>
      <c r="D152" s="4" t="s">
        <v>531</v>
      </c>
      <c r="E152" s="4" t="s">
        <v>532</v>
      </c>
      <c r="F152" s="4" t="s">
        <v>15</v>
      </c>
      <c r="G152" s="4" t="s">
        <v>533</v>
      </c>
      <c r="H152" s="4" t="s">
        <v>168</v>
      </c>
      <c r="I152" s="4" t="s">
        <v>10</v>
      </c>
      <c r="J152" s="4" t="s">
        <v>18</v>
      </c>
      <c r="K152" s="5"/>
      <c r="L152" s="5"/>
    </row>
    <row r="153">
      <c r="A153" s="2" t="str">
        <f>IFERROR(__xludf.DUMMYFUNCTION("REGEXEXTRACT(G153, ""^[^都道府県]+[都道府県]"")
"),"愛知県")</f>
        <v>愛知県</v>
      </c>
      <c r="B153" s="4" t="str">
        <f>IFERROR(__xludf.DUMMYFUNCTION("REGEXEXTRACT(G153, ""^[^都道府県]+[都道府県]([^0-9]+?[市区町村]+)"")
"),"半田市")</f>
        <v>半田市</v>
      </c>
      <c r="C153" s="4" t="str">
        <f t="shared" si="1"/>
        <v>愛知県半田市花園町6-27-6 メゾンドK</v>
      </c>
      <c r="D153" s="4" t="s">
        <v>534</v>
      </c>
      <c r="E153" s="4" t="s">
        <v>535</v>
      </c>
      <c r="F153" s="4" t="s">
        <v>15</v>
      </c>
      <c r="G153" s="4" t="s">
        <v>536</v>
      </c>
      <c r="H153" s="4" t="s">
        <v>9</v>
      </c>
      <c r="I153" s="4" t="s">
        <v>10</v>
      </c>
      <c r="J153" s="4" t="s">
        <v>18</v>
      </c>
      <c r="K153" s="4" t="s">
        <v>537</v>
      </c>
      <c r="L153" s="5"/>
    </row>
    <row r="154">
      <c r="A154" s="2" t="str">
        <f>IFERROR(__xludf.DUMMYFUNCTION("REGEXEXTRACT(G154, ""^[^都道府県]+[都道府県]"")
"),"愛知県")</f>
        <v>愛知県</v>
      </c>
      <c r="B154" s="4" t="str">
        <f>IFERROR(__xludf.DUMMYFUNCTION("REGEXEXTRACT(G154, ""^[^都道府県]+[都道府県]([^0-9]+?[市区町村]+)"")
"),"半田市")</f>
        <v>半田市</v>
      </c>
      <c r="C154" s="4" t="str">
        <f t="shared" si="1"/>
        <v>愛知県半田市東郷町4-101-2 ウェルネスタウン</v>
      </c>
      <c r="D154" s="4" t="s">
        <v>538</v>
      </c>
      <c r="E154" s="4" t="s">
        <v>539</v>
      </c>
      <c r="F154" s="4" t="s">
        <v>97</v>
      </c>
      <c r="G154" s="4" t="s">
        <v>540</v>
      </c>
      <c r="H154" s="4" t="s">
        <v>58</v>
      </c>
      <c r="I154" s="4" t="s">
        <v>10</v>
      </c>
      <c r="J154" s="4" t="s">
        <v>18</v>
      </c>
      <c r="K154" s="4" t="s">
        <v>541</v>
      </c>
      <c r="L154" s="5"/>
    </row>
    <row r="155">
      <c r="A155" s="2" t="str">
        <f>IFERROR(__xludf.DUMMYFUNCTION("REGEXEXTRACT(G155, ""^[^都道府県]+[都道府県]"")
"),"愛知県")</f>
        <v>愛知県</v>
      </c>
      <c r="B155" s="4" t="str">
        <f>IFERROR(__xludf.DUMMYFUNCTION("REGEXEXTRACT(G155, ""^[^都道府県]+[都道府県]([^0-9]+?[市区町村]+)"")
"),"知立市")</f>
        <v>知立市</v>
      </c>
      <c r="C155" s="4" t="str">
        <f t="shared" si="1"/>
        <v>愛知県知立市新富2-47 パーシオンときわ</v>
      </c>
      <c r="D155" s="4" t="s">
        <v>542</v>
      </c>
      <c r="E155" s="4" t="s">
        <v>543</v>
      </c>
      <c r="F155" s="4" t="s">
        <v>101</v>
      </c>
      <c r="G155" s="4" t="s">
        <v>544</v>
      </c>
      <c r="H155" s="4" t="s">
        <v>17</v>
      </c>
      <c r="I155" s="4" t="s">
        <v>10</v>
      </c>
      <c r="J155" s="4" t="s">
        <v>18</v>
      </c>
      <c r="K155" s="5"/>
      <c r="L155" s="5"/>
    </row>
    <row r="156">
      <c r="A156" s="2" t="str">
        <f>IFERROR(__xludf.DUMMYFUNCTION("REGEXEXTRACT(G156, ""^[^都道府県]+[都道府県]"")
"),"愛知県")</f>
        <v>愛知県</v>
      </c>
      <c r="B156" s="4" t="str">
        <f>IFERROR(__xludf.DUMMYFUNCTION("REGEXEXTRACT(G156, ""^[^都道府県]+[都道府県]([^0-9]+?[市区町村]+)"")
"),"大府市")</f>
        <v>大府市</v>
      </c>
      <c r="C156" s="4" t="str">
        <f t="shared" si="1"/>
        <v>愛知県大府市月見町1-28 ボンジュール大府 2階の部屋</v>
      </c>
      <c r="D156" s="4" t="s">
        <v>545</v>
      </c>
      <c r="E156" s="4" t="s">
        <v>546</v>
      </c>
      <c r="F156" s="4" t="s">
        <v>85</v>
      </c>
      <c r="G156" s="4" t="s">
        <v>547</v>
      </c>
      <c r="H156" s="4" t="s">
        <v>58</v>
      </c>
      <c r="I156" s="4" t="s">
        <v>10</v>
      </c>
      <c r="J156" s="4" t="s">
        <v>18</v>
      </c>
      <c r="K156" s="5"/>
      <c r="L156" s="5"/>
    </row>
    <row r="157">
      <c r="A157" s="2" t="str">
        <f>IFERROR(__xludf.DUMMYFUNCTION("REGEXEXTRACT(G157, ""^[^都道府県]+[都道府県]"")
"),"愛知県")</f>
        <v>愛知県</v>
      </c>
      <c r="B157" s="4" t="str">
        <f>IFERROR(__xludf.DUMMYFUNCTION("REGEXEXTRACT(G157, ""^[^都道府県]+[都道府県]([^0-9]+?[市区町村]+)"")
"),"あま市")</f>
        <v>あま市</v>
      </c>
      <c r="C157" s="4" t="str">
        <f t="shared" si="1"/>
        <v>愛知県あま市本郷三反地24 グランエスポワール</v>
      </c>
      <c r="D157" s="4" t="s">
        <v>548</v>
      </c>
      <c r="E157" s="4" t="s">
        <v>549</v>
      </c>
      <c r="F157" s="4" t="s">
        <v>15</v>
      </c>
      <c r="G157" s="4" t="s">
        <v>550</v>
      </c>
      <c r="H157" s="4" t="s">
        <v>58</v>
      </c>
      <c r="I157" s="4" t="s">
        <v>10</v>
      </c>
      <c r="J157" s="4" t="s">
        <v>18</v>
      </c>
      <c r="K157" s="5"/>
      <c r="L157" s="5"/>
    </row>
    <row r="158">
      <c r="A158" s="2" t="str">
        <f>IFERROR(__xludf.DUMMYFUNCTION("REGEXEXTRACT(G158, ""^[^都道府県]+[都道府県]"")
"),"愛知県")</f>
        <v>愛知県</v>
      </c>
      <c r="B158" s="4" t="str">
        <f>IFERROR(__xludf.DUMMYFUNCTION("REGEXEXTRACT(G158, ""^[^都道府県]+[都道府県]([^0-9]+?[市区町村]+)"")
"),"あま市")</f>
        <v>あま市</v>
      </c>
      <c r="C158" s="4" t="str">
        <f t="shared" si="1"/>
        <v>愛知県あま市小橋方南山西154-2 小橋方コーポラスB棟</v>
      </c>
      <c r="D158" s="4" t="s">
        <v>551</v>
      </c>
      <c r="E158" s="4" t="s">
        <v>552</v>
      </c>
      <c r="F158" s="4" t="s">
        <v>15</v>
      </c>
      <c r="G158" s="4" t="s">
        <v>553</v>
      </c>
      <c r="H158" s="4" t="s">
        <v>58</v>
      </c>
      <c r="I158" s="4" t="s">
        <v>10</v>
      </c>
      <c r="J158" s="4" t="s">
        <v>18</v>
      </c>
      <c r="K158" s="4" t="s">
        <v>554</v>
      </c>
      <c r="L158" s="5"/>
    </row>
    <row r="159">
      <c r="A159" s="2" t="str">
        <f>IFERROR(__xludf.DUMMYFUNCTION("REGEXEXTRACT(G159, ""^[^都道府県]+[都道府県]"")
"),"愛知県")</f>
        <v>愛知県</v>
      </c>
      <c r="B159" s="4" t="str">
        <f>IFERROR(__xludf.DUMMYFUNCTION("REGEXEXTRACT(G159, ""^[^都道府県]+[都道府県]([^0-9]+?[市区町村]+)"")
"),"尾張旭市")</f>
        <v>尾張旭市</v>
      </c>
      <c r="C159" s="4" t="str">
        <f t="shared" si="1"/>
        <v>愛知県尾張旭市瀬戸川町2-80 ロータスフラワー</v>
      </c>
      <c r="D159" s="4" t="s">
        <v>555</v>
      </c>
      <c r="E159" s="4" t="s">
        <v>556</v>
      </c>
      <c r="F159" s="4" t="s">
        <v>15</v>
      </c>
      <c r="G159" s="4" t="s">
        <v>557</v>
      </c>
      <c r="H159" s="4" t="s">
        <v>58</v>
      </c>
      <c r="I159" s="4" t="s">
        <v>10</v>
      </c>
      <c r="J159" s="4" t="s">
        <v>18</v>
      </c>
      <c r="K159" s="4" t="s">
        <v>558</v>
      </c>
      <c r="L159" s="5"/>
    </row>
    <row r="160">
      <c r="A160" s="2" t="str">
        <f>IFERROR(__xludf.DUMMYFUNCTION("REGEXEXTRACT(G160, ""^[^都道府県]+[都道府県]"")
"),"愛知県")</f>
        <v>愛知県</v>
      </c>
      <c r="B160" s="4" t="str">
        <f>IFERROR(__xludf.DUMMYFUNCTION("REGEXEXTRACT(G160, ""^[^都道府県]+[都道府県]([^0-9]+?[市区町村]+)"")
"),"海部郡蟹江町")</f>
        <v>海部郡蟹江町</v>
      </c>
      <c r="C160" s="4" t="str">
        <f t="shared" si="1"/>
        <v>愛知県海部郡蟹江町富吉4丁目139 近鉄富吉コーポB棟</v>
      </c>
      <c r="D160" s="4" t="s">
        <v>559</v>
      </c>
      <c r="E160" s="4" t="s">
        <v>560</v>
      </c>
      <c r="F160" s="4" t="s">
        <v>15</v>
      </c>
      <c r="G160" s="4" t="s">
        <v>561</v>
      </c>
      <c r="H160" s="4" t="s">
        <v>58</v>
      </c>
      <c r="I160" s="4" t="s">
        <v>10</v>
      </c>
      <c r="J160" s="4" t="s">
        <v>18</v>
      </c>
      <c r="K160" s="4" t="s">
        <v>481</v>
      </c>
      <c r="L160" s="5"/>
    </row>
    <row r="161">
      <c r="A161" s="2" t="str">
        <f>IFERROR(__xludf.DUMMYFUNCTION("REGEXEXTRACT(G161, ""^[^都道府県]+[都道府県]"")
"),"愛知県")</f>
        <v>愛知県</v>
      </c>
      <c r="B161" s="4" t="str">
        <f>IFERROR(__xludf.DUMMYFUNCTION("REGEXEXTRACT(G161, ""^[^都道府県]+[都道府県]([^0-9]+?[市区町村]+)"")
"),"長久手市")</f>
        <v>長久手市</v>
      </c>
      <c r="C161" s="4" t="str">
        <f t="shared" si="1"/>
        <v>愛知県長久手市東狭間912 ガーデンハイツエクレール</v>
      </c>
      <c r="D161" s="4" t="s">
        <v>562</v>
      </c>
      <c r="E161" s="4" t="s">
        <v>563</v>
      </c>
      <c r="F161" s="4" t="s">
        <v>48</v>
      </c>
      <c r="G161" s="4" t="s">
        <v>564</v>
      </c>
      <c r="H161" s="4" t="s">
        <v>58</v>
      </c>
      <c r="I161" s="4" t="s">
        <v>10</v>
      </c>
      <c r="J161" s="4" t="s">
        <v>18</v>
      </c>
      <c r="K161" s="4" t="s">
        <v>565</v>
      </c>
      <c r="L161" s="5"/>
    </row>
    <row r="162">
      <c r="A162" s="2" t="str">
        <f>IFERROR(__xludf.DUMMYFUNCTION("REGEXEXTRACT(G162, ""^[^都道府県]+[都道府県]"")
"),"愛知県")</f>
        <v>愛知県</v>
      </c>
      <c r="B162" s="4" t="str">
        <f>IFERROR(__xludf.DUMMYFUNCTION("REGEXEXTRACT(G162, ""^[^都道府県]+[都道府県]([^0-9]+?[市区町村]+)"")
"),"瀬戸市")</f>
        <v>瀬戸市</v>
      </c>
      <c r="C162" s="4" t="str">
        <f t="shared" si="1"/>
        <v>愛知県瀬戸市瀬戸口町111 ブリード瀬戸口</v>
      </c>
      <c r="D162" s="4" t="s">
        <v>566</v>
      </c>
      <c r="E162" s="4" t="s">
        <v>567</v>
      </c>
      <c r="F162" s="4" t="s">
        <v>15</v>
      </c>
      <c r="G162" s="4" t="s">
        <v>568</v>
      </c>
      <c r="H162" s="4" t="s">
        <v>58</v>
      </c>
      <c r="I162" s="4" t="s">
        <v>10</v>
      </c>
      <c r="J162" s="4" t="s">
        <v>18</v>
      </c>
      <c r="K162" s="4" t="s">
        <v>569</v>
      </c>
      <c r="L162" s="5"/>
    </row>
    <row r="163">
      <c r="A163" s="2" t="str">
        <f>IFERROR(__xludf.DUMMYFUNCTION("REGEXEXTRACT(G163, ""^[^都道府県]+[都道府県]"")
"),"岐阜県")</f>
        <v>岐阜県</v>
      </c>
      <c r="B163" s="4" t="str">
        <f>IFERROR(__xludf.DUMMYFUNCTION("REGEXEXTRACT(G163, ""^[^都道府県]+[都道府県]([^0-9]+?[市区町村]+)"")
"),"羽島市")</f>
        <v>羽島市</v>
      </c>
      <c r="C163" s="4" t="str">
        <f t="shared" si="1"/>
        <v>岐阜県羽島市福寿町平方3-79 イノセンス</v>
      </c>
      <c r="D163" s="4" t="s">
        <v>570</v>
      </c>
      <c r="E163" s="4" t="s">
        <v>571</v>
      </c>
      <c r="F163" s="4" t="s">
        <v>85</v>
      </c>
      <c r="G163" s="4" t="s">
        <v>572</v>
      </c>
      <c r="H163" s="4" t="s">
        <v>58</v>
      </c>
      <c r="I163" s="4" t="s">
        <v>10</v>
      </c>
      <c r="J163" s="5"/>
      <c r="K163" s="5"/>
      <c r="L163" s="5"/>
    </row>
    <row r="164">
      <c r="A164" s="2" t="str">
        <f>IFERROR(__xludf.DUMMYFUNCTION("REGEXEXTRACT(G164, ""^[^都道府県]+[都道府県]"")
"),"岐阜県")</f>
        <v>岐阜県</v>
      </c>
      <c r="B164" s="4" t="str">
        <f>IFERROR(__xludf.DUMMYFUNCTION("REGEXEXTRACT(G164, ""^[^都道府県]+[都道府県]([^0-9]+?[市区町村]+)"")
"),"羽島市")</f>
        <v>羽島市</v>
      </c>
      <c r="C164" s="4" t="str">
        <f t="shared" si="1"/>
        <v>岐阜県羽島市舟橋町本町2丁目21-2 フレグランスこうえC棟</v>
      </c>
      <c r="D164" s="4" t="s">
        <v>573</v>
      </c>
      <c r="E164" s="4" t="s">
        <v>574</v>
      </c>
      <c r="F164" s="4" t="s">
        <v>15</v>
      </c>
      <c r="G164" s="4" t="s">
        <v>575</v>
      </c>
      <c r="H164" s="4" t="s">
        <v>58</v>
      </c>
      <c r="I164" s="4" t="s">
        <v>44</v>
      </c>
      <c r="J164" s="5"/>
      <c r="K164" s="5"/>
      <c r="L164" s="5"/>
    </row>
    <row r="165">
      <c r="A165" s="2" t="str">
        <f>IFERROR(__xludf.DUMMYFUNCTION("REGEXEXTRACT(G165, ""^[^都道府県]+[都道府県]"")
"),"岐阜県")</f>
        <v>岐阜県</v>
      </c>
      <c r="B165" s="4" t="str">
        <f>IFERROR(__xludf.DUMMYFUNCTION("REGEXEXTRACT(G165, ""^[^都道府県]+[都道府県]([^0-9]+?[市区町村]+)"")
"),"大垣市")</f>
        <v>大垣市</v>
      </c>
      <c r="C165" s="4" t="str">
        <f t="shared" si="1"/>
        <v>岐阜県大垣市林町8-1394-6 アクア大垣</v>
      </c>
      <c r="D165" s="4" t="s">
        <v>576</v>
      </c>
      <c r="E165" s="4" t="s">
        <v>577</v>
      </c>
      <c r="F165" s="4" t="s">
        <v>15</v>
      </c>
      <c r="G165" s="4" t="s">
        <v>578</v>
      </c>
      <c r="H165" s="4" t="s">
        <v>9</v>
      </c>
      <c r="I165" s="4" t="s">
        <v>10</v>
      </c>
      <c r="J165" s="4" t="s">
        <v>18</v>
      </c>
      <c r="K165" s="5"/>
      <c r="L165" s="5"/>
    </row>
    <row r="166">
      <c r="A166" s="2" t="str">
        <f>IFERROR(__xludf.DUMMYFUNCTION("REGEXEXTRACT(G166, ""^[^都道府県]+[都道府県]"")
"),"岐阜県")</f>
        <v>岐阜県</v>
      </c>
      <c r="B166" s="4" t="str">
        <f>IFERROR(__xludf.DUMMYFUNCTION("REGEXEXTRACT(G166, ""^[^都道府県]+[都道府県]([^0-9]+?[市区町村]+)"")
"),"岐阜市")</f>
        <v>岐阜市</v>
      </c>
      <c r="C166" s="4" t="str">
        <f t="shared" si="1"/>
        <v>岐阜県岐阜市下奈良1丁目4-1 カルム21</v>
      </c>
      <c r="D166" s="4" t="s">
        <v>579</v>
      </c>
      <c r="E166" s="4" t="s">
        <v>580</v>
      </c>
      <c r="F166" s="4" t="s">
        <v>15</v>
      </c>
      <c r="G166" s="4" t="s">
        <v>581</v>
      </c>
      <c r="H166" s="4" t="s">
        <v>9</v>
      </c>
      <c r="I166" s="4" t="s">
        <v>10</v>
      </c>
      <c r="J166" s="5"/>
      <c r="K166" s="4" t="s">
        <v>582</v>
      </c>
      <c r="L166" s="5"/>
    </row>
    <row r="167">
      <c r="A167" s="2" t="str">
        <f>IFERROR(__xludf.DUMMYFUNCTION("REGEXEXTRACT(G167, ""^[^都道府県]+[都道府県]"")
"),"岐阜県")</f>
        <v>岐阜県</v>
      </c>
      <c r="B167" s="4" t="str">
        <f>IFERROR(__xludf.DUMMYFUNCTION("REGEXEXTRACT(G167, ""^[^都道府県]+[都道府県]([^0-9]+?[市区町村]+)"")
"),"瑞穂市")</f>
        <v>瑞穂市</v>
      </c>
      <c r="C167" s="4" t="str">
        <f t="shared" si="1"/>
        <v>岐阜県瑞穂市野田新田4128-2 品川第2ビル</v>
      </c>
      <c r="D167" s="4" t="s">
        <v>583</v>
      </c>
      <c r="E167" s="4" t="s">
        <v>584</v>
      </c>
      <c r="F167" s="4" t="s">
        <v>15</v>
      </c>
      <c r="G167" s="4" t="s">
        <v>585</v>
      </c>
      <c r="H167" s="4" t="s">
        <v>17</v>
      </c>
      <c r="I167" s="4" t="s">
        <v>10</v>
      </c>
      <c r="J167" s="4" t="s">
        <v>18</v>
      </c>
      <c r="K167" s="4" t="s">
        <v>518</v>
      </c>
      <c r="L167" s="5"/>
    </row>
    <row r="168">
      <c r="A168" s="2" t="str">
        <f>IFERROR(__xludf.DUMMYFUNCTION("REGEXEXTRACT(G168, ""^[^都道府県]+[都道府県]"")
"),"岐阜県")</f>
        <v>岐阜県</v>
      </c>
      <c r="B168" s="4" t="str">
        <f>IFERROR(__xludf.DUMMYFUNCTION("REGEXEXTRACT(G168, ""^[^都道府県]+[都道府県]([^0-9]+?[市区町村]+)"")
"),"可児市")</f>
        <v>可児市</v>
      </c>
      <c r="C168" s="4" t="str">
        <f t="shared" si="1"/>
        <v>岐阜県可児市広見6丁目40 朝日プラザ可児</v>
      </c>
      <c r="D168" s="4" t="s">
        <v>586</v>
      </c>
      <c r="E168" s="4" t="s">
        <v>587</v>
      </c>
      <c r="F168" s="4" t="s">
        <v>15</v>
      </c>
      <c r="G168" s="4" t="s">
        <v>588</v>
      </c>
      <c r="H168" s="4" t="s">
        <v>17</v>
      </c>
      <c r="I168" s="4" t="s">
        <v>10</v>
      </c>
      <c r="J168" s="4" t="s">
        <v>18</v>
      </c>
      <c r="K168" s="4" t="s">
        <v>589</v>
      </c>
      <c r="L168" s="5"/>
    </row>
    <row r="169">
      <c r="A169" s="2" t="str">
        <f>IFERROR(__xludf.DUMMYFUNCTION("REGEXEXTRACT(G169, ""^[^都道府県]+[都道府県]"")
"),"静岡県")</f>
        <v>静岡県</v>
      </c>
      <c r="B169" s="4" t="str">
        <f>IFERROR(__xludf.DUMMYFUNCTION("REGEXEXTRACT(G169, ""^[^都道府県]+[都道府県]([^0-9]+?[市区町村]+)"")
"),"浜松市")</f>
        <v>浜松市</v>
      </c>
      <c r="C169" s="4" t="str">
        <f t="shared" si="1"/>
        <v>静岡県浜松市中央区海老塚1-10-20 朝日プラザ浜松ステーションスクエア</v>
      </c>
      <c r="D169" s="4" t="s">
        <v>590</v>
      </c>
      <c r="E169" s="4" t="s">
        <v>591</v>
      </c>
      <c r="F169" s="4" t="s">
        <v>48</v>
      </c>
      <c r="G169" s="4" t="s">
        <v>592</v>
      </c>
      <c r="H169" s="4" t="s">
        <v>9</v>
      </c>
      <c r="I169" s="4" t="s">
        <v>10</v>
      </c>
      <c r="J169" s="4" t="s">
        <v>11</v>
      </c>
      <c r="K169" s="4" t="s">
        <v>151</v>
      </c>
      <c r="L169" s="5"/>
    </row>
    <row r="170">
      <c r="A170" s="2" t="str">
        <f>IFERROR(__xludf.DUMMYFUNCTION("REGEXEXTRACT(G170, ""^[^都道府県]+[都道府県]"")
"),"静岡県")</f>
        <v>静岡県</v>
      </c>
      <c r="B170" s="4" t="str">
        <f>IFERROR(__xludf.DUMMYFUNCTION("REGEXEXTRACT(G170, ""^[^都道府県]+[都道府県]([^0-9]+?[市区町村]+)"")
"),"袋井市")</f>
        <v>袋井市</v>
      </c>
      <c r="C170" s="4" t="str">
        <f t="shared" si="1"/>
        <v>静岡県袋井市高尾746-1 AAI高尾</v>
      </c>
      <c r="D170" s="4" t="s">
        <v>593</v>
      </c>
      <c r="E170" s="17" t="s">
        <v>594</v>
      </c>
      <c r="F170" s="4" t="s">
        <v>226</v>
      </c>
      <c r="G170" s="4" t="s">
        <v>595</v>
      </c>
      <c r="H170" s="4" t="s">
        <v>9</v>
      </c>
      <c r="I170" s="4" t="s">
        <v>10</v>
      </c>
      <c r="J170" s="4" t="s">
        <v>18</v>
      </c>
      <c r="K170" s="6" t="s">
        <v>23</v>
      </c>
      <c r="L170" s="7"/>
    </row>
    <row r="171">
      <c r="A171" s="2" t="str">
        <f>IFERROR(__xludf.DUMMYFUNCTION("REGEXEXTRACT(G171, ""^[^都道府県]+[都道府県]"")
"),"静岡県")</f>
        <v>静岡県</v>
      </c>
      <c r="B171" s="4" t="str">
        <f>IFERROR(__xludf.DUMMYFUNCTION("REGEXEXTRACT(G171, ""^[^都道府県]+[都道府県]([^0-9]+?[市区町村]+)"")
"),"浜松市")</f>
        <v>浜松市</v>
      </c>
      <c r="C171" s="4" t="str">
        <f t="shared" si="1"/>
        <v>静岡県浜松市中央区布橋1丁目17-40 城北パーソナルハイツW</v>
      </c>
      <c r="D171" s="4" t="s">
        <v>596</v>
      </c>
      <c r="E171" s="17" t="s">
        <v>597</v>
      </c>
      <c r="F171" s="4" t="s">
        <v>48</v>
      </c>
      <c r="G171" s="4" t="s">
        <v>598</v>
      </c>
      <c r="H171" s="4" t="s">
        <v>17</v>
      </c>
      <c r="I171" s="4" t="s">
        <v>10</v>
      </c>
      <c r="J171" s="4" t="s">
        <v>11</v>
      </c>
      <c r="K171" s="4" t="s">
        <v>599</v>
      </c>
      <c r="L171" s="5"/>
    </row>
    <row r="172">
      <c r="A172" s="2" t="str">
        <f>IFERROR(__xludf.DUMMYFUNCTION("REGEXEXTRACT(G172, ""^[^都道府県]+[都道府県]"")
"),"静岡県")</f>
        <v>静岡県</v>
      </c>
      <c r="B172" s="4" t="str">
        <f>IFERROR(__xludf.DUMMYFUNCTION("REGEXEXTRACT(G172, ""^[^都道府県]+[都道府県]([^0-9]+?[市区町村]+)"")
"),"磐田市")</f>
        <v>磐田市</v>
      </c>
      <c r="C172" s="4" t="str">
        <f t="shared" si="1"/>
        <v>静岡県磐田市森下700-11 シミズハイツ</v>
      </c>
      <c r="D172" s="4" t="s">
        <v>600</v>
      </c>
      <c r="E172" s="17" t="s">
        <v>601</v>
      </c>
      <c r="F172" s="4" t="s">
        <v>48</v>
      </c>
      <c r="G172" s="4" t="s">
        <v>602</v>
      </c>
      <c r="H172" s="4" t="s">
        <v>9</v>
      </c>
      <c r="I172" s="4" t="s">
        <v>10</v>
      </c>
      <c r="J172" s="4" t="s">
        <v>11</v>
      </c>
      <c r="K172" s="5"/>
      <c r="L172" s="5"/>
    </row>
    <row r="173">
      <c r="A173" s="2" t="str">
        <f>IFERROR(__xludf.DUMMYFUNCTION("REGEXEXTRACT(G173, ""^[^都道府県]+[都道府県]"")
"),"静岡県")</f>
        <v>静岡県</v>
      </c>
      <c r="B173" s="4" t="str">
        <f>IFERROR(__xludf.DUMMYFUNCTION("REGEXEXTRACT(G173, ""^[^都道府県]+[都道府県]([^0-9]+?[市区町村]+)"")
"),"掛川市")</f>
        <v>掛川市</v>
      </c>
      <c r="C173" s="4" t="str">
        <f t="shared" si="1"/>
        <v>静岡県掛川市杉谷2-6-12 BellWood</v>
      </c>
      <c r="D173" s="4" t="s">
        <v>603</v>
      </c>
      <c r="E173" s="17" t="s">
        <v>604</v>
      </c>
      <c r="F173" s="4" t="s">
        <v>48</v>
      </c>
      <c r="G173" s="4" t="s">
        <v>605</v>
      </c>
      <c r="H173" s="4" t="s">
        <v>9</v>
      </c>
      <c r="I173" s="4" t="s">
        <v>10</v>
      </c>
      <c r="J173" s="4" t="s">
        <v>11</v>
      </c>
      <c r="K173" s="4" t="s">
        <v>606</v>
      </c>
      <c r="L173" s="5"/>
    </row>
    <row r="174">
      <c r="A174" s="2" t="str">
        <f>IFERROR(__xludf.DUMMYFUNCTION("REGEXEXTRACT(G174, ""^[^都道府県]+[都道府県]"")
"),"静岡県")</f>
        <v>静岡県</v>
      </c>
      <c r="B174" s="4" t="str">
        <f>IFERROR(__xludf.DUMMYFUNCTION("REGEXEXTRACT(G174, ""^[^都道府県]+[都道府県]([^0-9]+?[市区町村]+)"")
"),"焼津市")</f>
        <v>焼津市</v>
      </c>
      <c r="C174" s="4" t="str">
        <f t="shared" si="1"/>
        <v>静岡県焼津市東小川5-13-1 (公寓没名字，找中转要图片)</v>
      </c>
      <c r="D174" s="4" t="s">
        <v>607</v>
      </c>
      <c r="E174" s="17" t="s">
        <v>608</v>
      </c>
      <c r="F174" s="4" t="s">
        <v>243</v>
      </c>
      <c r="G174" s="4" t="s">
        <v>609</v>
      </c>
      <c r="H174" s="4" t="s">
        <v>9</v>
      </c>
      <c r="I174" s="4" t="s">
        <v>10</v>
      </c>
      <c r="J174" s="4" t="s">
        <v>11</v>
      </c>
      <c r="K174" s="5"/>
      <c r="L174" s="5"/>
    </row>
    <row r="175">
      <c r="A175" s="2" t="str">
        <f>IFERROR(__xludf.DUMMYFUNCTION("REGEXEXTRACT(G175, ""^[^都道府県]+[都道府県]"")
"),"静岡県")</f>
        <v>静岡県</v>
      </c>
      <c r="B175" s="4" t="str">
        <f>IFERROR(__xludf.DUMMYFUNCTION("REGEXEXTRACT(G175, ""^[^都道府県]+[都道府県]([^0-9]+?[市区町村]+)"")
"),"沼津市")</f>
        <v>沼津市</v>
      </c>
      <c r="C175" s="4" t="str">
        <f t="shared" si="1"/>
        <v>静岡県沼津市高沢町9-8 パティオ高沢</v>
      </c>
      <c r="D175" s="4" t="s">
        <v>610</v>
      </c>
      <c r="E175" s="4" t="s">
        <v>611</v>
      </c>
      <c r="F175" s="4" t="s">
        <v>48</v>
      </c>
      <c r="G175" s="4" t="s">
        <v>612</v>
      </c>
      <c r="H175" s="4" t="s">
        <v>9</v>
      </c>
      <c r="I175" s="4" t="s">
        <v>10</v>
      </c>
      <c r="J175" s="4" t="s">
        <v>11</v>
      </c>
      <c r="K175" s="4" t="s">
        <v>613</v>
      </c>
      <c r="L175" s="5"/>
    </row>
    <row r="176">
      <c r="A176" s="2" t="str">
        <f>IFERROR(__xludf.DUMMYFUNCTION("REGEXEXTRACT(G176, ""^[^都道府県]+[都道府県]"")
"),"静岡県")</f>
        <v>静岡県</v>
      </c>
      <c r="B176" s="4" t="str">
        <f>IFERROR(__xludf.DUMMYFUNCTION("REGEXEXTRACT(G176, ""^[^都道府県]+[都道府県]([^0-9]+?[市区町村]+)"")
"),"富士市")</f>
        <v>富士市</v>
      </c>
      <c r="C176" s="4" t="str">
        <f t="shared" si="1"/>
        <v>静岡県富士市柚木199-1 シャンテFuji</v>
      </c>
      <c r="D176" s="10" t="s">
        <v>614</v>
      </c>
      <c r="E176" s="10" t="s">
        <v>615</v>
      </c>
      <c r="F176" s="10" t="s">
        <v>48</v>
      </c>
      <c r="G176" s="10" t="s">
        <v>616</v>
      </c>
      <c r="H176" s="10" t="s">
        <v>9</v>
      </c>
      <c r="I176" s="10" t="s">
        <v>10</v>
      </c>
      <c r="J176" s="10" t="s">
        <v>18</v>
      </c>
      <c r="K176" s="11" t="s">
        <v>617</v>
      </c>
      <c r="L176" s="7"/>
    </row>
    <row r="177">
      <c r="A177" s="2" t="str">
        <f>IFERROR(__xludf.DUMMYFUNCTION("REGEXEXTRACT(G177, ""^[^都道府県]+[都道府県]"")
"),"静岡県")</f>
        <v>静岡県</v>
      </c>
      <c r="B177" s="4" t="str">
        <f>IFERROR(__xludf.DUMMYFUNCTION("REGEXEXTRACT(G177, ""^[^都道府県]+[都道府県]([^0-9]+?[市区町村]+)"")
"),"藤枝市")</f>
        <v>藤枝市</v>
      </c>
      <c r="C177" s="4" t="str">
        <f t="shared" si="1"/>
        <v>静岡県藤枝市藤枝5-7-36 プラム千歳</v>
      </c>
      <c r="D177" s="4" t="s">
        <v>618</v>
      </c>
      <c r="E177" s="4" t="s">
        <v>619</v>
      </c>
      <c r="F177" s="4" t="s">
        <v>48</v>
      </c>
      <c r="G177" s="4" t="s">
        <v>620</v>
      </c>
      <c r="H177" s="4" t="s">
        <v>9</v>
      </c>
      <c r="I177" s="4" t="s">
        <v>10</v>
      </c>
      <c r="J177" s="4" t="s">
        <v>11</v>
      </c>
      <c r="K177" s="4" t="s">
        <v>621</v>
      </c>
      <c r="L177" s="5"/>
    </row>
    <row r="178">
      <c r="A178" s="2" t="str">
        <f>IFERROR(__xludf.DUMMYFUNCTION("REGEXEXTRACT(G178, ""^[^都道府県]+[都道府県]"")
"),"福岡県")</f>
        <v>福岡県</v>
      </c>
      <c r="B178" s="4" t="str">
        <f>IFERROR(__xludf.DUMMYFUNCTION("REGEXEXTRACT(G178, ""^[^都道府県]+[都道府県]([^0-9]+?[市区町村]+)"")
"),"福岡市")</f>
        <v>福岡市</v>
      </c>
      <c r="C178" s="4" t="str">
        <f t="shared" si="1"/>
        <v>福岡県福岡市博多区博多駅南1-14-6 クレベール博多</v>
      </c>
      <c r="D178" s="4" t="s">
        <v>622</v>
      </c>
      <c r="E178" s="4" t="s">
        <v>623</v>
      </c>
      <c r="F178" s="4" t="s">
        <v>15</v>
      </c>
      <c r="G178" s="4" t="s">
        <v>624</v>
      </c>
      <c r="H178" s="4" t="s">
        <v>9</v>
      </c>
      <c r="I178" s="4" t="s">
        <v>10</v>
      </c>
      <c r="J178" s="4" t="s">
        <v>11</v>
      </c>
      <c r="K178" s="4" t="s">
        <v>625</v>
      </c>
      <c r="L178" s="5"/>
    </row>
    <row r="179">
      <c r="A179" s="2" t="str">
        <f>IFERROR(__xludf.DUMMYFUNCTION("REGEXEXTRACT(G179, ""^[^都道府県]+[都道府県]"")
"),"福岡県")</f>
        <v>福岡県</v>
      </c>
      <c r="B179" s="4" t="str">
        <f>IFERROR(__xludf.DUMMYFUNCTION("REGEXEXTRACT(G179, ""^[^都道府県]+[都道府県]([^0-9]+?[市区町村]+)"")
"),"福岡市")</f>
        <v>福岡市</v>
      </c>
      <c r="C179" s="4" t="str">
        <f t="shared" si="1"/>
        <v>福岡県福岡市中央区天神2丁目3-10 天神パインクレスト</v>
      </c>
      <c r="D179" s="4" t="s">
        <v>626</v>
      </c>
      <c r="E179" s="4" t="s">
        <v>627</v>
      </c>
      <c r="F179" s="4" t="s">
        <v>15</v>
      </c>
      <c r="G179" s="4" t="s">
        <v>628</v>
      </c>
      <c r="H179" s="4" t="s">
        <v>17</v>
      </c>
      <c r="I179" s="4" t="s">
        <v>10</v>
      </c>
      <c r="J179" s="4" t="s">
        <v>18</v>
      </c>
      <c r="K179" s="4" t="s">
        <v>54</v>
      </c>
      <c r="L179" s="4" t="s">
        <v>629</v>
      </c>
    </row>
    <row r="180">
      <c r="A180" s="2" t="str">
        <f>IFERROR(__xludf.DUMMYFUNCTION("REGEXEXTRACT(G180, ""^[^都道府県]+[都道府県]"")
"),"福岡県")</f>
        <v>福岡県</v>
      </c>
      <c r="B180" s="4" t="str">
        <f>IFERROR(__xludf.DUMMYFUNCTION("REGEXEXTRACT(G180, ""^[^都道府県]+[都道府県]([^0-9]+?[市区町村]+)"")
"),"福岡市")</f>
        <v>福岡市</v>
      </c>
      <c r="C180" s="4" t="str">
        <f t="shared" si="1"/>
        <v>福岡県福岡市博多区冷泉町1-3 エクセレンス祇園</v>
      </c>
      <c r="D180" s="4" t="s">
        <v>630</v>
      </c>
      <c r="E180" s="4" t="s">
        <v>631</v>
      </c>
      <c r="F180" s="4" t="s">
        <v>7</v>
      </c>
      <c r="G180" s="4" t="s">
        <v>632</v>
      </c>
      <c r="H180" s="4" t="s">
        <v>17</v>
      </c>
      <c r="I180" s="4" t="s">
        <v>10</v>
      </c>
      <c r="J180" s="4" t="s">
        <v>18</v>
      </c>
      <c r="K180" s="4" t="s">
        <v>54</v>
      </c>
      <c r="L180" s="5"/>
    </row>
    <row r="181">
      <c r="A181" s="2" t="str">
        <f>IFERROR(__xludf.DUMMYFUNCTION("REGEXEXTRACT(G181, ""^[^都道府県]+[都道府県]"")
"),"福岡県")</f>
        <v>福岡県</v>
      </c>
      <c r="B181" s="4" t="str">
        <f>IFERROR(__xludf.DUMMYFUNCTION("REGEXEXTRACT(G181, ""^[^都道府県]+[都道府県]([^0-9]+?[市区町村]+)"")
"),"久留米市")</f>
        <v>久留米市</v>
      </c>
      <c r="C181" s="4" t="str">
        <f t="shared" si="1"/>
        <v>福岡県久留米市東町1-13 J-PLACE</v>
      </c>
      <c r="D181" s="4" t="s">
        <v>633</v>
      </c>
      <c r="E181" s="4" t="s">
        <v>634</v>
      </c>
      <c r="F181" s="4" t="s">
        <v>15</v>
      </c>
      <c r="G181" s="4" t="s">
        <v>635</v>
      </c>
      <c r="H181" s="4" t="s">
        <v>9</v>
      </c>
      <c r="I181" s="4" t="s">
        <v>10</v>
      </c>
      <c r="J181" s="4" t="s">
        <v>18</v>
      </c>
      <c r="K181" s="6" t="s">
        <v>23</v>
      </c>
      <c r="L181" s="7"/>
    </row>
    <row r="182">
      <c r="A182" s="2" t="str">
        <f>IFERROR(__xludf.DUMMYFUNCTION("REGEXEXTRACT(G182, ""^[^都道府県]+[都道府県]"")
"),"福島県")</f>
        <v>福島県</v>
      </c>
      <c r="B182" s="4" t="str">
        <f>IFERROR(__xludf.DUMMYFUNCTION("REGEXEXTRACT(G182, ""^[^都道府県]+[都道府県]([^0-9]+?[市区町村]+)"")
"),"郡山市")</f>
        <v>郡山市</v>
      </c>
      <c r="C182" s="4" t="str">
        <f t="shared" si="1"/>
        <v>福島県郡山市安積荒井本町441 サンシヤインビル</v>
      </c>
      <c r="D182" s="4" t="s">
        <v>636</v>
      </c>
      <c r="E182" s="4" t="s">
        <v>637</v>
      </c>
      <c r="F182" s="4" t="s">
        <v>7</v>
      </c>
      <c r="G182" s="4" t="s">
        <v>638</v>
      </c>
      <c r="H182" s="4" t="s">
        <v>58</v>
      </c>
      <c r="I182" s="4" t="s">
        <v>44</v>
      </c>
      <c r="J182" s="4" t="s">
        <v>11</v>
      </c>
      <c r="K182" s="4" t="s">
        <v>639</v>
      </c>
      <c r="L182" s="5"/>
    </row>
    <row r="183">
      <c r="A183" s="2" t="str">
        <f>IFERROR(__xludf.DUMMYFUNCTION("REGEXEXTRACT(G183, ""^[^都道府県]+[都道府県]"")
"),"福島県")</f>
        <v>福島県</v>
      </c>
      <c r="B183" s="4" t="str">
        <f>IFERROR(__xludf.DUMMYFUNCTION("REGEXEXTRACT(G183, ""^[^都道府県]+[都道府県]([^0-9]+?[市区町村]+)"")
"),"いわき市")</f>
        <v>いわき市</v>
      </c>
      <c r="C183" s="4" t="str">
        <f t="shared" si="1"/>
        <v>福島県いわき市内郷御厩町上宿79 ミマヤビル</v>
      </c>
      <c r="D183" s="4" t="s">
        <v>640</v>
      </c>
      <c r="E183" s="4" t="s">
        <v>641</v>
      </c>
      <c r="F183" s="4" t="s">
        <v>101</v>
      </c>
      <c r="G183" s="4" t="s">
        <v>642</v>
      </c>
      <c r="H183" s="4" t="s">
        <v>9</v>
      </c>
      <c r="I183" s="4" t="s">
        <v>10</v>
      </c>
      <c r="J183" s="5"/>
      <c r="K183" s="4" t="s">
        <v>643</v>
      </c>
      <c r="L183" s="5"/>
    </row>
    <row r="184">
      <c r="A184" s="2" t="str">
        <f>IFERROR(__xludf.DUMMYFUNCTION("REGEXEXTRACT(G184, ""^[^都道府県]+[都道府県]"")
"),"福島県")</f>
        <v>福島県</v>
      </c>
      <c r="B184" s="4" t="str">
        <f>IFERROR(__xludf.DUMMYFUNCTION("REGEXEXTRACT(G184, ""^[^都道府県]+[都道府県]([^0-9]+?[市区町村]+)"")
"),"福島市")</f>
        <v>福島市</v>
      </c>
      <c r="C184" s="4" t="str">
        <f t="shared" si="1"/>
        <v>福島県福島市陣場町7-20 陣場アーバンハウス</v>
      </c>
      <c r="D184" s="4" t="s">
        <v>644</v>
      </c>
      <c r="E184" s="4" t="s">
        <v>645</v>
      </c>
      <c r="F184" s="4" t="s">
        <v>15</v>
      </c>
      <c r="G184" s="4" t="s">
        <v>646</v>
      </c>
      <c r="H184" s="4" t="s">
        <v>58</v>
      </c>
      <c r="I184" s="4" t="s">
        <v>44</v>
      </c>
      <c r="J184" s="4" t="s">
        <v>11</v>
      </c>
      <c r="K184" s="4" t="s">
        <v>647</v>
      </c>
      <c r="L184" s="5"/>
    </row>
    <row r="185">
      <c r="A185" s="2" t="str">
        <f>IFERROR(__xludf.DUMMYFUNCTION("REGEXEXTRACT(G185, ""^[^都道府県]+[都道府県]"")
"),"兵庫県")</f>
        <v>兵庫県</v>
      </c>
      <c r="B185" s="4" t="str">
        <f>IFERROR(__xludf.DUMMYFUNCTION("REGEXEXTRACT(G185, ""^[^都道府県]+[都道府県]([^0-9]+?[市区町村]+)"")
"),"西宮市")</f>
        <v>西宮市</v>
      </c>
      <c r="C185" s="4" t="str">
        <f t="shared" si="1"/>
        <v>兵庫県西宮市深津町3-3 ダイドーメゾン西宮北口10</v>
      </c>
      <c r="D185" s="4" t="s">
        <v>648</v>
      </c>
      <c r="E185" s="4" t="s">
        <v>649</v>
      </c>
      <c r="F185" s="4" t="s">
        <v>7</v>
      </c>
      <c r="G185" s="4" t="s">
        <v>650</v>
      </c>
      <c r="H185" s="4" t="s">
        <v>9</v>
      </c>
      <c r="I185" s="4" t="s">
        <v>10</v>
      </c>
      <c r="J185" s="4" t="s">
        <v>11</v>
      </c>
      <c r="K185" s="4" t="s">
        <v>12</v>
      </c>
      <c r="L185" s="5"/>
    </row>
    <row r="186">
      <c r="A186" s="2" t="str">
        <f>IFERROR(__xludf.DUMMYFUNCTION("REGEXEXTRACT(G186, ""^[^都道府県]+[都道府県]"")
"),"兵庫県")</f>
        <v>兵庫県</v>
      </c>
      <c r="B186" s="4" t="str">
        <f>IFERROR(__xludf.DUMMYFUNCTION("REGEXEXTRACT(G186, ""^[^都道府県]+[都道府県]([^0-9]+?[市区町村]+)"")
"),"姫路市")</f>
        <v>姫路市</v>
      </c>
      <c r="C186" s="4" t="str">
        <f t="shared" si="1"/>
        <v>兵庫県姫路市広畑区東新町1-38-1 デアリックス広畑</v>
      </c>
      <c r="D186" s="4" t="s">
        <v>651</v>
      </c>
      <c r="E186" s="4" t="s">
        <v>652</v>
      </c>
      <c r="F186" s="4" t="s">
        <v>7</v>
      </c>
      <c r="G186" s="4" t="s">
        <v>653</v>
      </c>
      <c r="H186" s="4" t="s">
        <v>9</v>
      </c>
      <c r="I186" s="4" t="s">
        <v>10</v>
      </c>
      <c r="J186" s="4" t="s">
        <v>11</v>
      </c>
      <c r="K186" s="4" t="s">
        <v>12</v>
      </c>
      <c r="L186" s="5"/>
    </row>
    <row r="187">
      <c r="A187" s="2" t="str">
        <f>IFERROR(__xludf.DUMMYFUNCTION("REGEXEXTRACT(G187, ""^[^都道府県]+[都道府県]"")
"),"兵庫県")</f>
        <v>兵庫県</v>
      </c>
      <c r="B187" s="4" t="str">
        <f>IFERROR(__xludf.DUMMYFUNCTION("REGEXEXTRACT(G187, ""^[^都道府県]+[都道府県]([^0-9]+?[市区町村]+)"")
"),"姫路市")</f>
        <v>姫路市</v>
      </c>
      <c r="C187" s="4" t="str">
        <f t="shared" si="1"/>
        <v>兵庫県姫路市朝日町6-3 フェリーチェ姫路駅前</v>
      </c>
      <c r="D187" s="4" t="s">
        <v>654</v>
      </c>
      <c r="E187" s="4" t="s">
        <v>655</v>
      </c>
      <c r="F187" s="4" t="s">
        <v>15</v>
      </c>
      <c r="G187" s="4" t="s">
        <v>656</v>
      </c>
      <c r="H187" s="4" t="s">
        <v>9</v>
      </c>
      <c r="I187" s="4" t="s">
        <v>10</v>
      </c>
      <c r="J187" s="4" t="s">
        <v>11</v>
      </c>
      <c r="K187" s="4" t="s">
        <v>12</v>
      </c>
      <c r="L187" s="5"/>
    </row>
    <row r="188">
      <c r="A188" s="2" t="str">
        <f>IFERROR(__xludf.DUMMYFUNCTION("REGEXEXTRACT(G188, ""^[^都道府県]+[都道府県]"")
"),"兵庫県")</f>
        <v>兵庫県</v>
      </c>
      <c r="B188" s="4" t="str">
        <f>IFERROR(__xludf.DUMMYFUNCTION("REGEXEXTRACT(G188, ""^[^都道府県]+[都道府県]([^0-9]+?[市区町村]+)"")
"),"姫路市")</f>
        <v>姫路市</v>
      </c>
      <c r="C188" s="4" t="str">
        <f t="shared" si="1"/>
        <v>兵庫県姫路市朝日町湯ノ坪444 Luxe姫路</v>
      </c>
      <c r="D188" s="4" t="s">
        <v>657</v>
      </c>
      <c r="E188" s="4" t="s">
        <v>658</v>
      </c>
      <c r="F188" s="4" t="s">
        <v>15</v>
      </c>
      <c r="G188" s="4" t="s">
        <v>659</v>
      </c>
      <c r="H188" s="4" t="s">
        <v>58</v>
      </c>
      <c r="I188" s="4" t="s">
        <v>10</v>
      </c>
      <c r="J188" s="5"/>
      <c r="K188" s="5"/>
      <c r="L188" s="5"/>
    </row>
    <row r="189">
      <c r="A189" s="2" t="str">
        <f>IFERROR(__xludf.DUMMYFUNCTION("REGEXEXTRACT(G189, ""^[^都道府県]+[都道府県]"")
"),"兵庫県")</f>
        <v>兵庫県</v>
      </c>
      <c r="B189" s="4" t="str">
        <f>IFERROR(__xludf.DUMMYFUNCTION("REGEXEXTRACT(G189, ""^[^都道府県]+[都道府県]([^0-9]+?[市区町村]+)"")
"),"明石市")</f>
        <v>明石市</v>
      </c>
      <c r="C189" s="4" t="str">
        <f t="shared" si="1"/>
        <v>兵庫県明石市本町2-8-22 POCOAPOCO AKASHIHONMACHI MAISON</v>
      </c>
      <c r="D189" s="4" t="s">
        <v>660</v>
      </c>
      <c r="E189" s="4" t="s">
        <v>661</v>
      </c>
      <c r="F189" s="4" t="s">
        <v>15</v>
      </c>
      <c r="G189" s="4" t="s">
        <v>662</v>
      </c>
      <c r="H189" s="4" t="s">
        <v>58</v>
      </c>
      <c r="I189" s="4" t="s">
        <v>10</v>
      </c>
      <c r="J189" s="5"/>
      <c r="K189" s="5"/>
      <c r="L189" s="5"/>
    </row>
    <row r="190">
      <c r="A190" s="2" t="str">
        <f>IFERROR(__xludf.DUMMYFUNCTION("REGEXEXTRACT(G190, ""^[^都道府県]+[都道府県]"")
"),"兵庫県")</f>
        <v>兵庫県</v>
      </c>
      <c r="B190" s="4" t="str">
        <f>IFERROR(__xludf.DUMMYFUNCTION("REGEXEXTRACT(G190, ""^[^都道府県]+[都道府県]([^0-9]+?[市区町村]+)"")
"),"神戸市")</f>
        <v>神戸市</v>
      </c>
      <c r="C190" s="4" t="str">
        <f t="shared" si="1"/>
        <v>兵庫県神戸市東灘区御影中町1丁目4-11 メゾン御影</v>
      </c>
      <c r="D190" s="4" t="s">
        <v>663</v>
      </c>
      <c r="E190" s="4" t="s">
        <v>664</v>
      </c>
      <c r="F190" s="4" t="s">
        <v>48</v>
      </c>
      <c r="G190" s="4" t="s">
        <v>665</v>
      </c>
      <c r="H190" s="4" t="s">
        <v>666</v>
      </c>
      <c r="I190" s="4" t="s">
        <v>10</v>
      </c>
      <c r="J190" s="4" t="s">
        <v>11</v>
      </c>
      <c r="K190" s="5"/>
      <c r="L190" s="5"/>
    </row>
    <row r="191">
      <c r="A191" s="2" t="str">
        <f>IFERROR(__xludf.DUMMYFUNCTION("REGEXEXTRACT(G191, ""^[^都道府県]+[都道府県]"")
"),"兵庫県")</f>
        <v>兵庫県</v>
      </c>
      <c r="B191" s="4" t="str">
        <f>IFERROR(__xludf.DUMMYFUNCTION("REGEXEXTRACT(G191, ""^[^都道府県]+[都道府県]([^0-9]+?[市区町村]+)"")
"),"神戸市")</f>
        <v>神戸市</v>
      </c>
      <c r="C191" s="4" t="str">
        <f t="shared" si="1"/>
        <v>兵庫県神戸市灘区浜田町4丁目2-13 メゾン・ド・六甲パート3</v>
      </c>
      <c r="D191" s="4" t="s">
        <v>667</v>
      </c>
      <c r="E191" s="4" t="s">
        <v>668</v>
      </c>
      <c r="F191" s="4" t="s">
        <v>85</v>
      </c>
      <c r="G191" s="4" t="s">
        <v>669</v>
      </c>
      <c r="H191" s="4" t="s">
        <v>58</v>
      </c>
      <c r="I191" s="4" t="s">
        <v>44</v>
      </c>
      <c r="J191" s="5"/>
      <c r="K191" s="5"/>
      <c r="L191" s="5"/>
    </row>
    <row r="192">
      <c r="A192" s="2" t="str">
        <f>IFERROR(__xludf.DUMMYFUNCTION("REGEXEXTRACT(G192, ""^[^都道府県]+[都道府県]"")
"),"兵庫県")</f>
        <v>兵庫県</v>
      </c>
      <c r="B192" s="4" t="str">
        <f>IFERROR(__xludf.DUMMYFUNCTION("REGEXEXTRACT(G192, ""^[^都道府県]+[都道府県]([^0-9]+?[市区町村]+)"")
"),"神戸市")</f>
        <v>神戸市</v>
      </c>
      <c r="C192" s="4" t="str">
        <f t="shared" si="1"/>
        <v>兵庫県神戸市中央区元町通3-12-20 シティスパイア 神戸元町</v>
      </c>
      <c r="D192" s="4" t="s">
        <v>670</v>
      </c>
      <c r="E192" s="4" t="s">
        <v>671</v>
      </c>
      <c r="F192" s="4" t="s">
        <v>15</v>
      </c>
      <c r="G192" s="4" t="s">
        <v>672</v>
      </c>
      <c r="H192" s="4" t="s">
        <v>9</v>
      </c>
      <c r="I192" s="4" t="s">
        <v>10</v>
      </c>
      <c r="J192" s="4" t="s">
        <v>18</v>
      </c>
      <c r="K192" s="6" t="s">
        <v>23</v>
      </c>
      <c r="L192" s="7"/>
    </row>
    <row r="193">
      <c r="A193" s="2" t="str">
        <f>IFERROR(__xludf.DUMMYFUNCTION("REGEXEXTRACT(G193, ""^[^都道府県]+[都道府県]"")
"),"兵庫県")</f>
        <v>兵庫県</v>
      </c>
      <c r="B193" s="4" t="str">
        <f>IFERROR(__xludf.DUMMYFUNCTION("REGEXEXTRACT(G193, ""^[^都道府県]+[都道府県]([^0-9]+?[市区町村]+)"")
"),"神戸市")</f>
        <v>神戸市</v>
      </c>
      <c r="C193" s="4" t="str">
        <f t="shared" si="1"/>
        <v>兵庫県神戸市中央区下山手通5-8-14 山手ダイヤハイツB棟</v>
      </c>
      <c r="D193" s="4" t="s">
        <v>673</v>
      </c>
      <c r="E193" s="4" t="s">
        <v>674</v>
      </c>
      <c r="F193" s="4" t="s">
        <v>15</v>
      </c>
      <c r="G193" s="4" t="s">
        <v>675</v>
      </c>
      <c r="H193" s="4" t="s">
        <v>9</v>
      </c>
      <c r="I193" s="4" t="s">
        <v>10</v>
      </c>
      <c r="J193" s="4" t="s">
        <v>18</v>
      </c>
      <c r="K193" s="6" t="s">
        <v>23</v>
      </c>
      <c r="L193" s="7"/>
    </row>
    <row r="194">
      <c r="A194" s="2" t="str">
        <f>IFERROR(__xludf.DUMMYFUNCTION("REGEXEXTRACT(G194, ""^[^都道府県]+[都道府県]"")
"),"兵庫県")</f>
        <v>兵庫県</v>
      </c>
      <c r="B194" s="4" t="str">
        <f>IFERROR(__xludf.DUMMYFUNCTION("REGEXEXTRACT(G194, ""^[^都道府県]+[都道府県]([^0-9]+?[市区町村]+)"")
"),"神戸市")</f>
        <v>神戸市</v>
      </c>
      <c r="C194" s="4" t="str">
        <f t="shared" si="1"/>
        <v>兵庫県神戸市長田区大橋町4-4-18 ダイアパレス西神戸</v>
      </c>
      <c r="D194" s="4" t="s">
        <v>676</v>
      </c>
      <c r="E194" s="4" t="s">
        <v>677</v>
      </c>
      <c r="F194" s="4" t="s">
        <v>15</v>
      </c>
      <c r="G194" s="4" t="s">
        <v>678</v>
      </c>
      <c r="H194" s="4" t="s">
        <v>9</v>
      </c>
      <c r="I194" s="4" t="s">
        <v>10</v>
      </c>
      <c r="J194" s="4" t="s">
        <v>18</v>
      </c>
      <c r="K194" s="6" t="s">
        <v>23</v>
      </c>
      <c r="L194" s="7"/>
    </row>
    <row r="195">
      <c r="A195" s="2" t="str">
        <f>IFERROR(__xludf.DUMMYFUNCTION("REGEXEXTRACT(G195, ""^[^都道府県]+[都道府県]"")
"),"兵庫県")</f>
        <v>兵庫県</v>
      </c>
      <c r="B195" s="4" t="str">
        <f>IFERROR(__xludf.DUMMYFUNCTION("REGEXEXTRACT(G195, ""^[^都道府県]+[都道府県]([^0-9]+?[市区町村]+)"")
"),"神戸市")</f>
        <v>神戸市</v>
      </c>
      <c r="C195" s="4" t="str">
        <f t="shared" si="1"/>
        <v>兵庫県神戸市中央区雲井通3丁目1-6 エスリード三宮第3</v>
      </c>
      <c r="D195" s="4" t="s">
        <v>679</v>
      </c>
      <c r="E195" s="4" t="s">
        <v>680</v>
      </c>
      <c r="F195" s="4" t="s">
        <v>15</v>
      </c>
      <c r="G195" s="4" t="s">
        <v>681</v>
      </c>
      <c r="H195" s="4" t="s">
        <v>9</v>
      </c>
      <c r="I195" s="4" t="s">
        <v>10</v>
      </c>
      <c r="J195" s="4" t="s">
        <v>18</v>
      </c>
      <c r="K195" s="6" t="s">
        <v>23</v>
      </c>
      <c r="L195" s="7"/>
    </row>
    <row r="196">
      <c r="A196" s="2" t="str">
        <f>IFERROR(__xludf.DUMMYFUNCTION("REGEXEXTRACT(G196, ""^[^都道府県]+[都道府県]"")
"),"長野県")</f>
        <v>長野県</v>
      </c>
      <c r="B196" s="4" t="str">
        <f>IFERROR(__xludf.DUMMYFUNCTION("REGEXEXTRACT(G196, ""^[^都道府県]+[都道府県]([^0-9]+?[市区町村]+)"")
"),"長野市")</f>
        <v>長野市</v>
      </c>
      <c r="C196" s="4" t="str">
        <f t="shared" si="1"/>
        <v>長野県長野市大字長野東町132 アシスト長野マンション</v>
      </c>
      <c r="D196" s="4" t="s">
        <v>682</v>
      </c>
      <c r="E196" s="4" t="s">
        <v>683</v>
      </c>
      <c r="F196" s="4" t="s">
        <v>15</v>
      </c>
      <c r="G196" s="4" t="s">
        <v>684</v>
      </c>
      <c r="H196" s="4" t="s">
        <v>9</v>
      </c>
      <c r="I196" s="4" t="s">
        <v>10</v>
      </c>
      <c r="J196" s="4" t="s">
        <v>11</v>
      </c>
      <c r="K196" s="5"/>
      <c r="L196" s="5"/>
    </row>
    <row r="197">
      <c r="A197" s="2" t="str">
        <f>IFERROR(__xludf.DUMMYFUNCTION("REGEXEXTRACT(G197, ""^[^都道府県]+[都道府県]"")
"),"長野県")</f>
        <v>長野県</v>
      </c>
      <c r="B197" s="4" t="str">
        <f>IFERROR(__xludf.DUMMYFUNCTION("REGEXEXTRACT(G197, ""^[^都道府県]+[都道府県]([^0-9]+?[市区町村]+)"")
"),"長野市")</f>
        <v>長野市</v>
      </c>
      <c r="C197" s="4" t="str">
        <f t="shared" si="1"/>
        <v>長野県長野市大字栗田936 サミット栗田中央</v>
      </c>
      <c r="D197" s="4" t="s">
        <v>685</v>
      </c>
      <c r="E197" s="4" t="s">
        <v>686</v>
      </c>
      <c r="F197" s="4" t="s">
        <v>7</v>
      </c>
      <c r="G197" s="4" t="s">
        <v>687</v>
      </c>
      <c r="H197" s="4" t="s">
        <v>9</v>
      </c>
      <c r="I197" s="4" t="s">
        <v>10</v>
      </c>
      <c r="J197" s="4" t="s">
        <v>18</v>
      </c>
      <c r="K197" s="6" t="s">
        <v>23</v>
      </c>
      <c r="L197" s="7"/>
    </row>
    <row r="198">
      <c r="A198" s="2" t="str">
        <f>IFERROR(__xludf.DUMMYFUNCTION("REGEXEXTRACT(G198, ""^[^都道府県]+[都道府県]"")
"),"長野県")</f>
        <v>長野県</v>
      </c>
      <c r="B198" s="4" t="str">
        <f>IFERROR(__xludf.DUMMYFUNCTION("REGEXEXTRACT(G198, ""^[^都道府県]+[都道府県]([^0-9]+?[市区町村]+)"")
"),"松本市")</f>
        <v>松本市</v>
      </c>
      <c r="C198" s="4" t="str">
        <f t="shared" si="1"/>
        <v>長野県松本市中央1丁目2-7 大東プラザニュー伊勢町</v>
      </c>
      <c r="D198" s="4" t="s">
        <v>688</v>
      </c>
      <c r="E198" s="4" t="s">
        <v>689</v>
      </c>
      <c r="F198" s="4" t="s">
        <v>15</v>
      </c>
      <c r="G198" s="4" t="s">
        <v>690</v>
      </c>
      <c r="H198" s="4" t="s">
        <v>58</v>
      </c>
      <c r="I198" s="4" t="s">
        <v>10</v>
      </c>
      <c r="J198" s="4" t="s">
        <v>18</v>
      </c>
      <c r="K198" s="5"/>
      <c r="L198" s="5"/>
    </row>
    <row r="199">
      <c r="A199" s="2" t="str">
        <f>IFERROR(__xludf.DUMMYFUNCTION("REGEXEXTRACT(G199, ""^[^都道府県]+[都道府県]"")
"),"長野県")</f>
        <v>長野県</v>
      </c>
      <c r="B199" s="4" t="str">
        <f>IFERROR(__xludf.DUMMYFUNCTION("REGEXEXTRACT(G199, ""^[^都道府県]+[都道府県]([^0-9]+?[市区町村]+)"")
"),"上田市")</f>
        <v>上田市</v>
      </c>
      <c r="C199" s="4" t="str">
        <f t="shared" si="1"/>
        <v>長野県上田市上塩尻226-1 ザ・グレイス・シグマ</v>
      </c>
      <c r="D199" s="4" t="s">
        <v>691</v>
      </c>
      <c r="E199" s="4" t="s">
        <v>692</v>
      </c>
      <c r="F199" s="4" t="s">
        <v>7</v>
      </c>
      <c r="G199" s="4" t="s">
        <v>693</v>
      </c>
      <c r="H199" s="4" t="s">
        <v>9</v>
      </c>
      <c r="I199" s="4" t="s">
        <v>10</v>
      </c>
      <c r="J199" s="4" t="s">
        <v>18</v>
      </c>
      <c r="K199" s="6" t="s">
        <v>23</v>
      </c>
      <c r="L199" s="7"/>
    </row>
    <row r="200">
      <c r="A200" s="2" t="str">
        <f>IFERROR(__xludf.DUMMYFUNCTION("REGEXEXTRACT(G200, ""^[^都道府県]+[都道府県]"")
"),"長野県")</f>
        <v>長野県</v>
      </c>
      <c r="B200" s="4" t="str">
        <f>IFERROR(__xludf.DUMMYFUNCTION("REGEXEXTRACT(G200, ""^[^都道府県]+[都道府県]([^0-9]+?[市区町村]+)"")
"),"塩尻市")</f>
        <v>塩尻市</v>
      </c>
      <c r="C200" s="4" t="str">
        <f t="shared" si="1"/>
        <v>長野県塩尻市旧塩尻1057 リフレホテル</v>
      </c>
      <c r="D200" s="4" t="s">
        <v>694</v>
      </c>
      <c r="E200" s="4" t="s">
        <v>695</v>
      </c>
      <c r="F200" s="4" t="s">
        <v>7</v>
      </c>
      <c r="G200" s="4" t="s">
        <v>696</v>
      </c>
      <c r="H200" s="4" t="s">
        <v>58</v>
      </c>
      <c r="I200" s="4" t="s">
        <v>44</v>
      </c>
      <c r="J200" s="4" t="s">
        <v>11</v>
      </c>
      <c r="K200" s="4" t="s">
        <v>45</v>
      </c>
      <c r="L200" s="5"/>
    </row>
    <row r="201">
      <c r="A201" s="2" t="str">
        <f>IFERROR(__xludf.DUMMYFUNCTION("REGEXEXTRACT(G201, ""^[^都道府県]+[都道府県]"")
"),"栃木県")</f>
        <v>栃木県</v>
      </c>
      <c r="B201" s="4" t="str">
        <f>IFERROR(__xludf.DUMMYFUNCTION("REGEXEXTRACT(G201, ""^[^都道府県]+[都道府県]([^0-9]+?[市区町村]+)"")
"),"小山市")</f>
        <v>小山市</v>
      </c>
      <c r="C201" s="4" t="str">
        <f t="shared" si="1"/>
        <v>栃木県小山市駅東通り2-40-27 いせやハイツ</v>
      </c>
      <c r="D201" s="4" t="s">
        <v>697</v>
      </c>
      <c r="E201" s="4" t="s">
        <v>698</v>
      </c>
      <c r="F201" s="4" t="s">
        <v>101</v>
      </c>
      <c r="G201" s="4" t="s">
        <v>699</v>
      </c>
      <c r="H201" s="4" t="s">
        <v>9</v>
      </c>
      <c r="I201" s="4" t="s">
        <v>10</v>
      </c>
      <c r="J201" s="4" t="s">
        <v>11</v>
      </c>
      <c r="K201" s="5"/>
      <c r="L201" s="5"/>
    </row>
    <row r="202">
      <c r="A202" s="2" t="str">
        <f>IFERROR(__xludf.DUMMYFUNCTION("REGEXEXTRACT(G202, ""^[^都道府県]+[都道府県]"")
"),"栃木県")</f>
        <v>栃木県</v>
      </c>
      <c r="B202" s="4" t="str">
        <f>IFERROR(__xludf.DUMMYFUNCTION("REGEXEXTRACT(G202, ""^[^都道府県]+[都道府県]([^0-9]+?[市区町村]+)"")
"),"足利市")</f>
        <v>足利市</v>
      </c>
      <c r="C202" s="4" t="str">
        <f t="shared" si="1"/>
        <v>栃木県足利市田中町782 Mita.Bldg 3階です</v>
      </c>
      <c r="D202" s="4" t="s">
        <v>700</v>
      </c>
      <c r="E202" s="4" t="s">
        <v>701</v>
      </c>
      <c r="F202" s="4" t="s">
        <v>36</v>
      </c>
      <c r="G202" s="4" t="s">
        <v>702</v>
      </c>
      <c r="H202" s="4" t="s">
        <v>168</v>
      </c>
      <c r="I202" s="4" t="s">
        <v>44</v>
      </c>
      <c r="J202" s="4" t="s">
        <v>18</v>
      </c>
      <c r="K202" s="4" t="s">
        <v>151</v>
      </c>
      <c r="L202" s="5"/>
    </row>
    <row r="203">
      <c r="A203" s="2" t="str">
        <f>IFERROR(__xludf.DUMMYFUNCTION("REGEXEXTRACT(G203, ""^[^都道府県]+[都道府県]"")
"),"宮城県")</f>
        <v>宮城県</v>
      </c>
      <c r="B203" s="4" t="str">
        <f>IFERROR(__xludf.DUMMYFUNCTION("REGEXEXTRACT(G203, ""^[^都道府県]+[都道府県]([^0-9]+?[市区町村]+)"")
"),"仙台市")</f>
        <v>仙台市</v>
      </c>
      <c r="C203" s="4" t="str">
        <f t="shared" si="1"/>
        <v>宮城県仙台市青葉区花京院1丁目5-21 昇龍ビル</v>
      </c>
      <c r="D203" s="4" t="s">
        <v>703</v>
      </c>
      <c r="E203" s="4" t="s">
        <v>704</v>
      </c>
      <c r="F203" s="4" t="s">
        <v>101</v>
      </c>
      <c r="G203" s="4" t="s">
        <v>705</v>
      </c>
      <c r="H203" s="4" t="s">
        <v>58</v>
      </c>
      <c r="I203" s="4" t="s">
        <v>10</v>
      </c>
      <c r="J203" s="5"/>
      <c r="K203" s="5"/>
      <c r="L203" s="5"/>
    </row>
    <row r="204">
      <c r="A204" s="2" t="str">
        <f>IFERROR(__xludf.DUMMYFUNCTION("REGEXEXTRACT(G204, ""^[^都道府県]+[都道府県]"")
"),"宮城県")</f>
        <v>宮城県</v>
      </c>
      <c r="B204" s="4" t="str">
        <f>IFERROR(__xludf.DUMMYFUNCTION("REGEXEXTRACT(G204, ""^[^都道府県]+[都道府県]([^0-9]+?[市区町村]+)"")
"),"石巻市")</f>
        <v>石巻市</v>
      </c>
      <c r="C204" s="4" t="str">
        <f t="shared" si="1"/>
        <v>宮城県石巻市中央3丁目5-22 メゾン・ド・コパン</v>
      </c>
      <c r="D204" s="4" t="s">
        <v>706</v>
      </c>
      <c r="E204" s="4" t="s">
        <v>707</v>
      </c>
      <c r="F204" s="4" t="s">
        <v>48</v>
      </c>
      <c r="G204" s="4" t="s">
        <v>708</v>
      </c>
      <c r="H204" s="4" t="s">
        <v>9</v>
      </c>
      <c r="I204" s="4" t="s">
        <v>10</v>
      </c>
      <c r="J204" s="4" t="s">
        <v>11</v>
      </c>
      <c r="K204" s="5"/>
      <c r="L204" s="5"/>
    </row>
    <row r="205">
      <c r="A205" s="2" t="str">
        <f>IFERROR(__xludf.DUMMYFUNCTION("REGEXEXTRACT(G205, ""^[^都道府県]+[都道府県]"")
"),"三重県")</f>
        <v>三重県</v>
      </c>
      <c r="B205" s="4" t="str">
        <f>IFERROR(__xludf.DUMMYFUNCTION("REGEXEXTRACT(G205, ""^[^都道府県]+[都道府県]([^0-9]+?[市区町村]+)"")
"),"津市")</f>
        <v>津市</v>
      </c>
      <c r="C205" s="4" t="str">
        <f t="shared" si="1"/>
        <v>三重県津市島崎町137-117 島崎ハイツ</v>
      </c>
      <c r="D205" s="13" t="s">
        <v>709</v>
      </c>
      <c r="E205" s="4" t="s">
        <v>710</v>
      </c>
      <c r="F205" s="4" t="s">
        <v>15</v>
      </c>
      <c r="G205" s="4" t="s">
        <v>711</v>
      </c>
      <c r="H205" s="4" t="s">
        <v>9</v>
      </c>
      <c r="I205" s="4" t="s">
        <v>10</v>
      </c>
      <c r="J205" s="5"/>
      <c r="K205" s="4" t="s">
        <v>712</v>
      </c>
      <c r="L205" s="5"/>
    </row>
    <row r="206">
      <c r="A206" s="2" t="str">
        <f>IFERROR(__xludf.DUMMYFUNCTION("REGEXEXTRACT(G206, ""^[^都道府県]+[都道府県]"")
"),"三重県")</f>
        <v>三重県</v>
      </c>
      <c r="B206" s="4" t="str">
        <f>IFERROR(__xludf.DUMMYFUNCTION("REGEXEXTRACT(G206, ""^[^都道府県]+[都道府県]([^0-9]+?[市区町村]+)"")
"),"津市")</f>
        <v>津市</v>
      </c>
      <c r="C206" s="4" t="str">
        <f t="shared" si="1"/>
        <v>三重県津市大門26-3 のぶマンション</v>
      </c>
      <c r="D206" s="13" t="s">
        <v>713</v>
      </c>
      <c r="E206" s="4" t="s">
        <v>714</v>
      </c>
      <c r="F206" s="4" t="s">
        <v>15</v>
      </c>
      <c r="G206" s="4" t="s">
        <v>715</v>
      </c>
      <c r="H206" s="4" t="s">
        <v>17</v>
      </c>
      <c r="I206" s="4" t="s">
        <v>10</v>
      </c>
      <c r="J206" s="4" t="s">
        <v>18</v>
      </c>
      <c r="K206" s="4" t="s">
        <v>716</v>
      </c>
      <c r="L206" s="5"/>
    </row>
    <row r="207">
      <c r="A207" s="2" t="str">
        <f>IFERROR(__xludf.DUMMYFUNCTION("REGEXEXTRACT(G207, ""^[^都道府県]+[都道府県]"")
"),"三重県")</f>
        <v>三重県</v>
      </c>
      <c r="B207" s="4" t="str">
        <f>IFERROR(__xludf.DUMMYFUNCTION("REGEXEXTRACT(G207, ""^[^都道府県]+[都道府県]([^0-9]+?[市区町村]+)"")
"),"津市")</f>
        <v>津市</v>
      </c>
      <c r="C207" s="4" t="str">
        <f t="shared" si="1"/>
        <v>三重県津市藤方1643-1 サニーガーデン津</v>
      </c>
      <c r="D207" s="13" t="s">
        <v>717</v>
      </c>
      <c r="E207" s="4" t="s">
        <v>718</v>
      </c>
      <c r="F207" s="4" t="s">
        <v>101</v>
      </c>
      <c r="G207" s="4" t="s">
        <v>719</v>
      </c>
      <c r="H207" s="4" t="s">
        <v>17</v>
      </c>
      <c r="I207" s="4" t="s">
        <v>10</v>
      </c>
      <c r="J207" s="4" t="s">
        <v>18</v>
      </c>
      <c r="K207" s="4" t="s">
        <v>720</v>
      </c>
      <c r="L207" s="5"/>
    </row>
    <row r="208">
      <c r="A208" s="2" t="str">
        <f>IFERROR(__xludf.DUMMYFUNCTION("REGEXEXTRACT(G208, ""^[^都道府県]+[都道府県]"")
"),"三重県")</f>
        <v>三重県</v>
      </c>
      <c r="B208" s="4" t="str">
        <f>IFERROR(__xludf.DUMMYFUNCTION("REGEXEXTRACT(G208, ""^[^都道府県]+[都道府県]([^0-9]+?[市区町村]+)"")
"),"鈴鹿市")</f>
        <v>鈴鹿市</v>
      </c>
      <c r="C208" s="4" t="str">
        <f t="shared" si="1"/>
        <v>三重県鈴鹿市白子駅前11-18 ロイヤルハイツ白子駅</v>
      </c>
      <c r="D208" s="13" t="s">
        <v>721</v>
      </c>
      <c r="E208" s="4" t="s">
        <v>722</v>
      </c>
      <c r="F208" s="4" t="s">
        <v>15</v>
      </c>
      <c r="G208" s="4" t="s">
        <v>723</v>
      </c>
      <c r="H208" s="4" t="s">
        <v>17</v>
      </c>
      <c r="I208" s="4" t="s">
        <v>10</v>
      </c>
      <c r="J208" s="4" t="s">
        <v>18</v>
      </c>
      <c r="K208" s="4" t="s">
        <v>151</v>
      </c>
      <c r="L208" s="5"/>
    </row>
    <row r="209">
      <c r="A209" s="2" t="str">
        <f>IFERROR(__xludf.DUMMYFUNCTION("REGEXEXTRACT(G209, ""^[^都道府県]+[都道府県]"")
"),"茨城県")</f>
        <v>茨城県</v>
      </c>
      <c r="B209" s="4" t="str">
        <f>IFERROR(__xludf.DUMMYFUNCTION("REGEXEXTRACT(G209, ""^[^都道府県]+[都道府県]([^0-9]+?[市区町村]+)"")
"),"水戸市")</f>
        <v>水戸市</v>
      </c>
      <c r="C209" s="4" t="str">
        <f t="shared" si="1"/>
        <v>茨城県水戸市栅町1-5-7 クレセール三の丸</v>
      </c>
      <c r="D209" s="4" t="s">
        <v>724</v>
      </c>
      <c r="E209" s="4" t="s">
        <v>725</v>
      </c>
      <c r="F209" s="4" t="s">
        <v>243</v>
      </c>
      <c r="G209" s="4" t="s">
        <v>726</v>
      </c>
      <c r="H209" s="4" t="s">
        <v>17</v>
      </c>
      <c r="I209" s="4" t="s">
        <v>44</v>
      </c>
      <c r="J209" s="5"/>
      <c r="K209" s="6" t="s">
        <v>727</v>
      </c>
      <c r="L209" s="7"/>
    </row>
    <row r="210">
      <c r="A210" s="2" t="str">
        <f>IFERROR(__xludf.DUMMYFUNCTION("REGEXEXTRACT(G210, ""^[^都道府県]+[都道府県]"")
"),"茨城県")</f>
        <v>茨城県</v>
      </c>
      <c r="B210" s="4" t="str">
        <f>IFERROR(__xludf.DUMMYFUNCTION("REGEXEXTRACT(G210, ""^[^都道府県]+[都道府県]([^0-9]+?[市区町村]+)"")
"),"水戸市")</f>
        <v>水戸市</v>
      </c>
      <c r="C210" s="4" t="str">
        <f t="shared" si="1"/>
        <v>茨城県水戸市赤塚1丁目1970-5 KTMビル</v>
      </c>
      <c r="D210" s="4" t="s">
        <v>728</v>
      </c>
      <c r="E210" s="4" t="s">
        <v>729</v>
      </c>
      <c r="F210" s="4" t="s">
        <v>368</v>
      </c>
      <c r="G210" s="4" t="s">
        <v>730</v>
      </c>
      <c r="H210" s="4" t="s">
        <v>58</v>
      </c>
      <c r="I210" s="4" t="s">
        <v>44</v>
      </c>
      <c r="J210" s="4" t="s">
        <v>11</v>
      </c>
      <c r="K210" s="5"/>
      <c r="L210" s="5"/>
    </row>
    <row r="211">
      <c r="A211" s="2" t="str">
        <f>IFERROR(__xludf.DUMMYFUNCTION("REGEXEXTRACT(G211, ""^[^都道府県]+[都道府県]"")
"),"茨城県")</f>
        <v>茨城県</v>
      </c>
      <c r="B211" s="4" t="str">
        <f>IFERROR(__xludf.DUMMYFUNCTION("REGEXEXTRACT(G211, ""^[^都道府県]+[都道府県]([^0-9]+?[市区町村]+)"")
"),"日立市")</f>
        <v>日立市</v>
      </c>
      <c r="C211" s="4" t="str">
        <f t="shared" si="1"/>
        <v>茨城県日立市水木町2-5-26 水木ビル2</v>
      </c>
      <c r="D211" s="4" t="s">
        <v>731</v>
      </c>
      <c r="E211" s="4" t="s">
        <v>732</v>
      </c>
      <c r="F211" s="4" t="s">
        <v>48</v>
      </c>
      <c r="G211" s="4" t="s">
        <v>733</v>
      </c>
      <c r="H211" s="4" t="s">
        <v>17</v>
      </c>
      <c r="I211" s="4" t="s">
        <v>44</v>
      </c>
      <c r="J211" s="5"/>
      <c r="K211" s="6" t="s">
        <v>734</v>
      </c>
      <c r="L211" s="7"/>
    </row>
    <row r="212">
      <c r="A212" s="2" t="str">
        <f>IFERROR(__xludf.DUMMYFUNCTION("REGEXEXTRACT(G212, ""^[^都道府県]+[都道府県]"")
"),"茨城県")</f>
        <v>茨城県</v>
      </c>
      <c r="B212" s="4" t="str">
        <f>IFERROR(__xludf.DUMMYFUNCTION("REGEXEXTRACT(G212, ""^[^都道府県]+[都道府県]([^0-9]+?[市区町村]+)"")
"),"神栖市")</f>
        <v>神栖市</v>
      </c>
      <c r="C212" s="4" t="str">
        <f t="shared" si="1"/>
        <v>茨城県神栖市木崎2406-186 コーポラス幸武106</v>
      </c>
      <c r="D212" s="4" t="s">
        <v>735</v>
      </c>
      <c r="E212" s="4" t="s">
        <v>736</v>
      </c>
      <c r="F212" s="4" t="s">
        <v>48</v>
      </c>
      <c r="G212" s="4" t="s">
        <v>737</v>
      </c>
      <c r="H212" s="4" t="s">
        <v>17</v>
      </c>
      <c r="I212" s="4" t="s">
        <v>44</v>
      </c>
      <c r="J212" s="4" t="s">
        <v>18</v>
      </c>
      <c r="K212" s="6" t="s">
        <v>738</v>
      </c>
      <c r="L212" s="7"/>
    </row>
    <row r="213">
      <c r="A213" s="2" t="str">
        <f>IFERROR(__xludf.DUMMYFUNCTION("REGEXEXTRACT(G213, ""^[^都道府県]+[都道府県]"")
"),"茨城県")</f>
        <v>茨城県</v>
      </c>
      <c r="B213" s="4" t="str">
        <f>IFERROR(__xludf.DUMMYFUNCTION("REGEXEXTRACT(G213, ""^[^都道府県]+[都道府県]([^0-9]+?[市区町村]+)"")
"),"つくば市")</f>
        <v>つくば市</v>
      </c>
      <c r="C213" s="4" t="str">
        <f t="shared" si="1"/>
        <v>茨城県つくば市春日2丁目45-8 ルミナス春日弐番館</v>
      </c>
      <c r="D213" s="4" t="s">
        <v>739</v>
      </c>
      <c r="E213" s="4" t="s">
        <v>740</v>
      </c>
      <c r="F213" s="4" t="s">
        <v>15</v>
      </c>
      <c r="G213" s="4" t="s">
        <v>741</v>
      </c>
      <c r="H213" s="4" t="s">
        <v>58</v>
      </c>
      <c r="I213" s="4" t="s">
        <v>44</v>
      </c>
      <c r="J213" s="4" t="s">
        <v>11</v>
      </c>
      <c r="K213" s="4" t="s">
        <v>45</v>
      </c>
      <c r="L213" s="5"/>
    </row>
    <row r="214">
      <c r="A214" s="2" t="str">
        <f>IFERROR(__xludf.DUMMYFUNCTION("REGEXEXTRACT(G214, ""^[^都道府県]+[都道府県]"")
"),"茨城県")</f>
        <v>茨城県</v>
      </c>
      <c r="B214" s="4" t="str">
        <f>IFERROR(__xludf.DUMMYFUNCTION("REGEXEXTRACT(G214, ""^[^都道府県]+[都道府県]([^0-9]+?[市区町村]+)"")
"),"牛久市")</f>
        <v>牛久市</v>
      </c>
      <c r="C214" s="4" t="str">
        <f t="shared" si="1"/>
        <v>茨城県牛久市牛久町970-1 チェリーガーデン牛久</v>
      </c>
      <c r="D214" s="4" t="s">
        <v>742</v>
      </c>
      <c r="E214" s="4" t="s">
        <v>743</v>
      </c>
      <c r="F214" s="4" t="s">
        <v>48</v>
      </c>
      <c r="G214" s="4" t="s">
        <v>744</v>
      </c>
      <c r="H214" s="4" t="s">
        <v>9</v>
      </c>
      <c r="I214" s="4" t="s">
        <v>10</v>
      </c>
      <c r="J214" s="4" t="s">
        <v>11</v>
      </c>
      <c r="K214" s="5"/>
      <c r="L214" s="5"/>
    </row>
    <row r="215">
      <c r="A215" s="2" t="str">
        <f>IFERROR(__xludf.DUMMYFUNCTION("REGEXEXTRACT(G215, ""^[^都道府県]+[都道府県]"")
"),"群馬県")</f>
        <v>群馬県</v>
      </c>
      <c r="B215" s="4" t="str">
        <f>IFERROR(__xludf.DUMMYFUNCTION("REGEXEXTRACT(G215, ""^[^都道府県]+[都道府県]([^0-9]+?[市区町村]+)"")
"),"伊勢崎市")</f>
        <v>伊勢崎市</v>
      </c>
      <c r="C215" s="4" t="str">
        <f t="shared" si="1"/>
        <v>群馬県伊勢崎市喜多町125-6 コーポラスアゼリア</v>
      </c>
      <c r="D215" s="4" t="s">
        <v>745</v>
      </c>
      <c r="E215" s="4" t="s">
        <v>746</v>
      </c>
      <c r="F215" s="4" t="s">
        <v>747</v>
      </c>
      <c r="G215" s="4" t="s">
        <v>748</v>
      </c>
      <c r="H215" s="4" t="s">
        <v>58</v>
      </c>
      <c r="I215" s="4" t="s">
        <v>10</v>
      </c>
      <c r="J215" s="5"/>
      <c r="K215" s="4" t="s">
        <v>749</v>
      </c>
      <c r="L215" s="5"/>
    </row>
    <row r="216">
      <c r="A216" s="2" t="str">
        <f>IFERROR(__xludf.DUMMYFUNCTION("REGEXEXTRACT(G216, ""^[^都道府県]+[都道府県]"")
"),"群馬県")</f>
        <v>群馬県</v>
      </c>
      <c r="B216" s="4" t="str">
        <f>IFERROR(__xludf.DUMMYFUNCTION("REGEXEXTRACT(G216, ""^[^都道府県]+[都道府県]([^0-9]+?[市区町村]+)"")
"),"高崎市")</f>
        <v>高崎市</v>
      </c>
      <c r="C216" s="4" t="str">
        <f t="shared" si="1"/>
        <v>群馬県高崎市元紺屋町17-1 ダイアパレス高崎中央</v>
      </c>
      <c r="D216" s="4" t="s">
        <v>750</v>
      </c>
      <c r="E216" s="4" t="s">
        <v>751</v>
      </c>
      <c r="F216" s="4" t="s">
        <v>7</v>
      </c>
      <c r="G216" s="4" t="s">
        <v>752</v>
      </c>
      <c r="H216" s="4" t="s">
        <v>17</v>
      </c>
      <c r="I216" s="4" t="s">
        <v>10</v>
      </c>
      <c r="J216" s="4" t="s">
        <v>18</v>
      </c>
      <c r="K216" s="4" t="s">
        <v>54</v>
      </c>
      <c r="L216" s="5"/>
    </row>
    <row r="217">
      <c r="A217" s="2" t="str">
        <f>IFERROR(__xludf.DUMMYFUNCTION("REGEXEXTRACT(G217, ""^[^都道府県]+[都道府県]"")
"),"岡山県")</f>
        <v>岡山県</v>
      </c>
      <c r="B217" s="4" t="str">
        <f>IFERROR(__xludf.DUMMYFUNCTION("REGEXEXTRACT(G217, ""^[^都道府県]+[都道府県]([^0-9]+?[市区町村]+)"")
"),"岡山市")</f>
        <v>岡山市</v>
      </c>
      <c r="C217" s="4" t="str">
        <f t="shared" si="1"/>
        <v>岡山県岡山市北区春日町5-20 アルファ春日町</v>
      </c>
      <c r="D217" s="4" t="s">
        <v>753</v>
      </c>
      <c r="E217" s="4" t="s">
        <v>754</v>
      </c>
      <c r="F217" s="4" t="s">
        <v>15</v>
      </c>
      <c r="G217" s="4" t="s">
        <v>755</v>
      </c>
      <c r="H217" s="4" t="s">
        <v>9</v>
      </c>
      <c r="I217" s="4" t="s">
        <v>10</v>
      </c>
      <c r="J217" s="4" t="s">
        <v>11</v>
      </c>
      <c r="K217" s="4" t="s">
        <v>12</v>
      </c>
      <c r="L217" s="4" t="s">
        <v>756</v>
      </c>
    </row>
    <row r="218">
      <c r="A218" s="2" t="str">
        <f>IFERROR(__xludf.DUMMYFUNCTION("REGEXEXTRACT(G218, ""^[^都道府県]+[都道府県]"")
"),"岡山県")</f>
        <v>岡山県</v>
      </c>
      <c r="B218" s="4" t="str">
        <f>IFERROR(__xludf.DUMMYFUNCTION("REGEXEXTRACT(G218, ""^[^都道府県]+[都道府県]([^0-9]+?[市区町村]+)"")
"),"岡山市")</f>
        <v>岡山市</v>
      </c>
      <c r="C218" s="4" t="str">
        <f t="shared" si="1"/>
        <v>岡山県岡山市北区岡町17-18 K'sB岡山医大</v>
      </c>
      <c r="D218" s="4" t="s">
        <v>757</v>
      </c>
      <c r="E218" s="4" t="s">
        <v>758</v>
      </c>
      <c r="F218" s="4" t="s">
        <v>48</v>
      </c>
      <c r="G218" s="4" t="s">
        <v>759</v>
      </c>
      <c r="H218" s="4" t="s">
        <v>58</v>
      </c>
      <c r="I218" s="4" t="s">
        <v>10</v>
      </c>
      <c r="J218" s="5"/>
      <c r="K218" s="4" t="s">
        <v>109</v>
      </c>
      <c r="L218" s="5"/>
    </row>
    <row r="219">
      <c r="A219" s="2" t="str">
        <f>IFERROR(__xludf.DUMMYFUNCTION("REGEXEXTRACT(G219, ""^[^都道府県]+[都道府県]"")
"),"岡山県")</f>
        <v>岡山県</v>
      </c>
      <c r="B219" s="4" t="str">
        <f>IFERROR(__xludf.DUMMYFUNCTION("REGEXEXTRACT(G219, ""^[^都道府県]+[都道府県]([^0-9]+?[市区町村]+)"")
"),"倉敷市")</f>
        <v>倉敷市</v>
      </c>
      <c r="C219" s="4" t="str">
        <f t="shared" si="1"/>
        <v>岡山県倉敷市玉島爪崎1082-2 エトワール21新倉敷</v>
      </c>
      <c r="D219" s="4" t="s">
        <v>760</v>
      </c>
      <c r="E219" s="4" t="s">
        <v>761</v>
      </c>
      <c r="F219" s="4" t="s">
        <v>762</v>
      </c>
      <c r="G219" s="4" t="s">
        <v>763</v>
      </c>
      <c r="H219" s="4" t="s">
        <v>58</v>
      </c>
      <c r="I219" s="4" t="s">
        <v>44</v>
      </c>
      <c r="J219" s="4" t="s">
        <v>11</v>
      </c>
      <c r="K219" s="5"/>
      <c r="L219" s="5"/>
    </row>
    <row r="220">
      <c r="A220" s="2" t="str">
        <f>IFERROR(__xludf.DUMMYFUNCTION("REGEXEXTRACT(G220, ""^[^都道府県]+[都道府県]"")
"),"広島県")</f>
        <v>広島県</v>
      </c>
      <c r="B220" s="4" t="str">
        <f>IFERROR(__xludf.DUMMYFUNCTION("REGEXEXTRACT(G220, ""^[^都道府県]+[都道府県]([^0-9]+?[市区町村]+)"")
"),"広島市")</f>
        <v>広島市</v>
      </c>
      <c r="C220" s="4" t="str">
        <f t="shared" si="1"/>
        <v>広島県広島市西区西観音町5-22 ワンダフルパレスN1</v>
      </c>
      <c r="D220" s="4" t="s">
        <v>764</v>
      </c>
      <c r="E220" s="4" t="s">
        <v>765</v>
      </c>
      <c r="F220" s="4" t="s">
        <v>15</v>
      </c>
      <c r="G220" s="4" t="s">
        <v>766</v>
      </c>
      <c r="H220" s="4" t="s">
        <v>9</v>
      </c>
      <c r="I220" s="4" t="s">
        <v>10</v>
      </c>
      <c r="J220" s="4" t="s">
        <v>11</v>
      </c>
      <c r="K220" s="4" t="s">
        <v>12</v>
      </c>
      <c r="L220" s="5"/>
    </row>
    <row r="221">
      <c r="A221" s="2" t="str">
        <f>IFERROR(__xludf.DUMMYFUNCTION("REGEXEXTRACT(G221, ""^[^都道府県]+[都道府県]"")
"),"広島県")</f>
        <v>広島県</v>
      </c>
      <c r="B221" s="4" t="str">
        <f>IFERROR(__xludf.DUMMYFUNCTION("REGEXEXTRACT(G221, ""^[^都道府県]+[都道府県]([^0-9]+?[市区町村]+)"")
"),"広島市")</f>
        <v>広島市</v>
      </c>
      <c r="C221" s="4" t="str">
        <f t="shared" si="1"/>
        <v>広島県広島市中区上幟町2-36 S・ウィングビル</v>
      </c>
      <c r="D221" s="4" t="s">
        <v>767</v>
      </c>
      <c r="E221" s="4" t="s">
        <v>768</v>
      </c>
      <c r="F221" s="4" t="s">
        <v>48</v>
      </c>
      <c r="G221" s="4" t="s">
        <v>769</v>
      </c>
      <c r="H221" s="4" t="s">
        <v>58</v>
      </c>
      <c r="I221" s="4" t="s">
        <v>44</v>
      </c>
      <c r="J221" s="4" t="s">
        <v>11</v>
      </c>
      <c r="K221" s="5"/>
      <c r="L221" s="5"/>
    </row>
    <row r="222">
      <c r="A222" s="2" t="str">
        <f>IFERROR(__xludf.DUMMYFUNCTION("REGEXEXTRACT(G222, ""^[^都道府県]+[都道府県]"")
"),"広島県")</f>
        <v>広島県</v>
      </c>
      <c r="B222" s="4" t="str">
        <f>IFERROR(__xludf.DUMMYFUNCTION("REGEXEXTRACT(G222, ""^[^都道府県]+[都道府県]([^0-9]+?[市区町村]+)"")
"),"広島市")</f>
        <v>広島市</v>
      </c>
      <c r="C222" s="4" t="str">
        <f t="shared" si="1"/>
        <v>広島県広島市安佐南区西原2丁目34-16 ホーネット21</v>
      </c>
      <c r="D222" s="4" t="s">
        <v>770</v>
      </c>
      <c r="E222" s="4" t="s">
        <v>771</v>
      </c>
      <c r="F222" s="4" t="s">
        <v>85</v>
      </c>
      <c r="G222" s="4" t="s">
        <v>772</v>
      </c>
      <c r="H222" s="4" t="s">
        <v>58</v>
      </c>
      <c r="I222" s="4" t="s">
        <v>10</v>
      </c>
      <c r="J222" s="5"/>
      <c r="K222" s="4" t="s">
        <v>151</v>
      </c>
      <c r="L222" s="5"/>
    </row>
    <row r="223">
      <c r="A223" s="2" t="str">
        <f>IFERROR(__xludf.DUMMYFUNCTION("REGEXEXTRACT(G223, ""^[^都道府県]+[都道府県]"")
"),"広島県")</f>
        <v>広島県</v>
      </c>
      <c r="B223" s="4" t="str">
        <f>IFERROR(__xludf.DUMMYFUNCTION("REGEXEXTRACT(G223, ""^[^都道府県]+[都道府県]([^0-9]+?[市区町村]+)"")
"),"広島市")</f>
        <v>広島市</v>
      </c>
      <c r="C223" s="4" t="str">
        <f t="shared" si="1"/>
        <v>広島県広島市東区愛宕町7-3 ヴィブレ愛宕</v>
      </c>
      <c r="D223" s="10" t="s">
        <v>773</v>
      </c>
      <c r="E223" s="10" t="s">
        <v>774</v>
      </c>
      <c r="F223" s="10" t="s">
        <v>15</v>
      </c>
      <c r="G223" s="10" t="s">
        <v>775</v>
      </c>
      <c r="H223" s="10" t="s">
        <v>9</v>
      </c>
      <c r="I223" s="10" t="s">
        <v>10</v>
      </c>
      <c r="J223" s="10" t="s">
        <v>18</v>
      </c>
      <c r="K223" s="11" t="s">
        <v>90</v>
      </c>
      <c r="L223" s="7"/>
    </row>
    <row r="224">
      <c r="A224" s="2" t="str">
        <f>IFERROR(__xludf.DUMMYFUNCTION("REGEXEXTRACT(G224, ""^[^都道府県]+[都道府県]"")
"),"広島県")</f>
        <v>広島県</v>
      </c>
      <c r="B224" s="4" t="str">
        <f>IFERROR(__xludf.DUMMYFUNCTION("REGEXEXTRACT(G224, ""^[^都道府県]+[都道府県]([^0-9]+?[市区町村]+)"")
"),"福山市")</f>
        <v>福山市</v>
      </c>
      <c r="C224" s="4" t="str">
        <f t="shared" si="1"/>
        <v>広島県福山市紅葉町4-11 AXIS21</v>
      </c>
      <c r="D224" s="4" t="s">
        <v>776</v>
      </c>
      <c r="E224" s="4" t="s">
        <v>777</v>
      </c>
      <c r="F224" s="4" t="s">
        <v>15</v>
      </c>
      <c r="G224" s="4" t="s">
        <v>778</v>
      </c>
      <c r="H224" s="4" t="s">
        <v>168</v>
      </c>
      <c r="I224" s="4" t="s">
        <v>10</v>
      </c>
      <c r="J224" s="4" t="s">
        <v>11</v>
      </c>
      <c r="K224" s="4" t="s">
        <v>12</v>
      </c>
      <c r="L224" s="4" t="s">
        <v>779</v>
      </c>
    </row>
    <row r="225">
      <c r="A225" s="2" t="str">
        <f>IFERROR(__xludf.DUMMYFUNCTION("REGEXEXTRACT(G225, ""^[^都道府県]+[都道府県]"")
"),"北海道")</f>
        <v>北海道</v>
      </c>
      <c r="B225" s="4" t="str">
        <f>IFERROR(__xludf.DUMMYFUNCTION("REGEXEXTRACT(G225, ""^[^都道府県]+[都道府県]([^0-9]+?[市区町村]+)"")
"),"札幌市")</f>
        <v>札幌市</v>
      </c>
      <c r="C225" s="4" t="str">
        <f t="shared" si="1"/>
        <v>北海道札幌市北区北8条西4-20-1 バロンドール</v>
      </c>
      <c r="D225" s="4" t="s">
        <v>780</v>
      </c>
      <c r="E225" s="4" t="s">
        <v>781</v>
      </c>
      <c r="F225" s="4" t="s">
        <v>48</v>
      </c>
      <c r="G225" s="4" t="s">
        <v>782</v>
      </c>
      <c r="H225" s="4" t="s">
        <v>58</v>
      </c>
      <c r="I225" s="4" t="s">
        <v>44</v>
      </c>
      <c r="J225" s="4" t="s">
        <v>11</v>
      </c>
      <c r="K225" s="5"/>
      <c r="L225" s="5"/>
    </row>
    <row r="226">
      <c r="A226" s="2" t="str">
        <f>IFERROR(__xludf.DUMMYFUNCTION("REGEXEXTRACT(G226, ""^[^都道府県]+[都道府県]"")
"),"北海道")</f>
        <v>北海道</v>
      </c>
      <c r="B226" s="4" t="str">
        <f>IFERROR(__xludf.DUMMYFUNCTION("REGEXEXTRACT(G226, ""^[^都道府県]+[都道府県]([^0-9]+?[市区町村]+)"")
"),"札幌市")</f>
        <v>札幌市</v>
      </c>
      <c r="C226" s="4" t="str">
        <f t="shared" si="1"/>
        <v>北海道札幌市東区北11条東1丁目2-23 ラクシス札幌</v>
      </c>
      <c r="D226" s="4" t="s">
        <v>783</v>
      </c>
      <c r="E226" s="4" t="s">
        <v>784</v>
      </c>
      <c r="F226" s="4" t="s">
        <v>762</v>
      </c>
      <c r="G226" s="4" t="s">
        <v>785</v>
      </c>
      <c r="H226" s="4" t="s">
        <v>58</v>
      </c>
      <c r="I226" s="4" t="s">
        <v>44</v>
      </c>
      <c r="J226" s="5"/>
      <c r="K226" s="5"/>
      <c r="L226" s="5"/>
    </row>
    <row r="227">
      <c r="A227" s="2" t="str">
        <f>IFERROR(__xludf.DUMMYFUNCTION("REGEXEXTRACT(G227, ""^[^都道府県]+[都道府県]"")
"),"和歌山県")</f>
        <v>和歌山県</v>
      </c>
      <c r="B227" s="4" t="str">
        <f>IFERROR(__xludf.DUMMYFUNCTION("REGEXEXTRACT(G227, ""^[^都道府県]+[都道府県]([^0-9]+?[市区町村]+)"")
"),"和歌山市")</f>
        <v>和歌山市</v>
      </c>
      <c r="C227" s="4" t="str">
        <f t="shared" si="1"/>
        <v>和歌山県和歌山市三木町堀詰1 朝日プラザ三木町</v>
      </c>
      <c r="D227" s="4" t="s">
        <v>786</v>
      </c>
      <c r="E227" s="4" t="s">
        <v>787</v>
      </c>
      <c r="F227" s="4" t="s">
        <v>15</v>
      </c>
      <c r="G227" s="4" t="s">
        <v>788</v>
      </c>
      <c r="H227" s="4" t="s">
        <v>9</v>
      </c>
      <c r="I227" s="4" t="s">
        <v>10</v>
      </c>
      <c r="J227" s="4" t="s">
        <v>11</v>
      </c>
      <c r="K227" s="4" t="s">
        <v>12</v>
      </c>
      <c r="L227" s="5"/>
    </row>
    <row r="228">
      <c r="A228" s="2" t="str">
        <f>IFERROR(__xludf.DUMMYFUNCTION("REGEXEXTRACT(G228, ""^[^都道府県]+[都道府県]"")
"),"和歌山県")</f>
        <v>和歌山県</v>
      </c>
      <c r="B228" s="4" t="str">
        <f>IFERROR(__xludf.DUMMYFUNCTION("REGEXEXTRACT(G228, ""^[^都道府県]+[都道府県]([^0-9]+?[市区町村]+)"")
"),"和歌山市")</f>
        <v>和歌山市</v>
      </c>
      <c r="C228" s="4" t="str">
        <f t="shared" si="1"/>
        <v>和歌山県和歌山市三筋目79 ルトラン和歌山</v>
      </c>
      <c r="D228" s="10" t="s">
        <v>789</v>
      </c>
      <c r="E228" s="10" t="s">
        <v>790</v>
      </c>
      <c r="F228" s="10" t="s">
        <v>48</v>
      </c>
      <c r="G228" s="10" t="s">
        <v>791</v>
      </c>
      <c r="H228" s="10" t="s">
        <v>9</v>
      </c>
      <c r="I228" s="10" t="s">
        <v>10</v>
      </c>
      <c r="J228" s="10" t="s">
        <v>18</v>
      </c>
      <c r="K228" s="11" t="s">
        <v>90</v>
      </c>
      <c r="L228" s="7"/>
    </row>
    <row r="229">
      <c r="A229" s="2" t="str">
        <f>IFERROR(__xludf.DUMMYFUNCTION("REGEXEXTRACT(G229, ""^[^都道府県]+[都道府県]"")
"),"和歌山県")</f>
        <v>和歌山県</v>
      </c>
      <c r="B229" s="4" t="str">
        <f>IFERROR(__xludf.DUMMYFUNCTION("REGEXEXTRACT(G229, ""^[^都道府県]+[都道府県]([^0-9]+?[市区町村]+)"")
"),"和歌山市")</f>
        <v>和歌山市</v>
      </c>
      <c r="C229" s="4" t="str">
        <f t="shared" si="1"/>
        <v>和歌山県和歌山市松江中2丁目5-26 リオンドロフティ中松江</v>
      </c>
      <c r="D229" s="8" t="s">
        <v>792</v>
      </c>
      <c r="E229" s="8" t="s">
        <v>793</v>
      </c>
      <c r="F229" s="8" t="s">
        <v>85</v>
      </c>
      <c r="G229" s="8" t="s">
        <v>794</v>
      </c>
      <c r="H229" s="8" t="s">
        <v>58</v>
      </c>
      <c r="I229" s="8" t="s">
        <v>44</v>
      </c>
      <c r="J229" s="8" t="s">
        <v>11</v>
      </c>
      <c r="K229" s="9"/>
      <c r="L229" s="9"/>
    </row>
    <row r="230">
      <c r="A230" s="2" t="str">
        <f>IFERROR(__xludf.DUMMYFUNCTION("REGEXEXTRACT(G230, ""^[^都道府県]+[都道府県]"")
"),"岩手県")</f>
        <v>岩手県</v>
      </c>
      <c r="B230" s="4" t="str">
        <f>IFERROR(__xludf.DUMMYFUNCTION("REGEXEXTRACT(G230, ""^[^都道府県]+[都道府県]([^0-9]+?[市区町村]+)"")
"),"盛岡市")</f>
        <v>盛岡市</v>
      </c>
      <c r="C230" s="4" t="str">
        <f t="shared" si="1"/>
        <v>岩手県盛岡市盛岡駅西通2-5-30 メイプル駅西通</v>
      </c>
      <c r="D230" s="4" t="s">
        <v>795</v>
      </c>
      <c r="E230" s="4" t="s">
        <v>796</v>
      </c>
      <c r="F230" s="4" t="s">
        <v>7</v>
      </c>
      <c r="G230" s="4" t="s">
        <v>797</v>
      </c>
      <c r="H230" s="4" t="s">
        <v>9</v>
      </c>
      <c r="I230" s="4" t="s">
        <v>10</v>
      </c>
      <c r="J230" s="4" t="s">
        <v>11</v>
      </c>
      <c r="K230" s="4" t="s">
        <v>12</v>
      </c>
      <c r="L230" s="5"/>
    </row>
    <row r="231">
      <c r="A231" s="2" t="str">
        <f>IFERROR(__xludf.DUMMYFUNCTION("REGEXEXTRACT(G231, ""^[^都道府県]+[都道府県]"")
"),"沖縄県")</f>
        <v>沖縄県</v>
      </c>
      <c r="B231" s="4" t="str">
        <f>IFERROR(__xludf.DUMMYFUNCTION("REGEXEXTRACT(G231, ""^[^都道府県]+[都道府県]([^0-9]+?[市区町村]+)"")
"),"那覇市")</f>
        <v>那覇市</v>
      </c>
      <c r="C231" s="4" t="str">
        <f t="shared" si="1"/>
        <v>沖縄県那覇市松尾1-17-8 コーポヤカゆちばな</v>
      </c>
      <c r="D231" s="4" t="s">
        <v>798</v>
      </c>
      <c r="E231" s="4" t="s">
        <v>799</v>
      </c>
      <c r="F231" s="4" t="s">
        <v>48</v>
      </c>
      <c r="G231" s="4" t="s">
        <v>800</v>
      </c>
      <c r="H231" s="4" t="s">
        <v>58</v>
      </c>
      <c r="I231" s="4" t="s">
        <v>44</v>
      </c>
      <c r="J231" s="4" t="s">
        <v>11</v>
      </c>
      <c r="K231" s="5"/>
      <c r="L231" s="5"/>
    </row>
    <row r="232">
      <c r="A232" s="2" t="str">
        <f>IFERROR(__xludf.DUMMYFUNCTION("REGEXEXTRACT(G232, ""^[^都道府県]+[都道府県]"")
"),"沖縄県")</f>
        <v>沖縄県</v>
      </c>
      <c r="B232" s="4" t="str">
        <f>IFERROR(__xludf.DUMMYFUNCTION("REGEXEXTRACT(G232, ""^[^都道府県]+[都道府県]([^0-9]+?[市区町村]+)"")
"),"那覇市")</f>
        <v>那覇市</v>
      </c>
      <c r="C232" s="4" t="str">
        <f t="shared" si="1"/>
        <v>沖縄県那覇市安里44-2 Le Soleil Asato</v>
      </c>
      <c r="D232" s="4" t="s">
        <v>801</v>
      </c>
      <c r="E232" s="4" t="s">
        <v>802</v>
      </c>
      <c r="F232" s="4" t="s">
        <v>15</v>
      </c>
      <c r="G232" s="4" t="s">
        <v>803</v>
      </c>
      <c r="H232" s="4" t="s">
        <v>9</v>
      </c>
      <c r="I232" s="4" t="s">
        <v>10</v>
      </c>
      <c r="J232" s="4" t="s">
        <v>11</v>
      </c>
      <c r="K232" s="4" t="s">
        <v>12</v>
      </c>
      <c r="L232" s="5"/>
    </row>
    <row r="233">
      <c r="A233" s="2" t="str">
        <f>IFERROR(__xludf.DUMMYFUNCTION("REGEXEXTRACT(G233, ""^[^都道府県]+[都道府県]"")
"),"沖縄県")</f>
        <v>沖縄県</v>
      </c>
      <c r="B233" s="4" t="str">
        <f>IFERROR(__xludf.DUMMYFUNCTION("REGEXEXTRACT(G233, ""^[^都道府県]+[都道府県]([^0-9]+?[市区町村]+)"")
"),"那覇市")</f>
        <v>那覇市</v>
      </c>
      <c r="C233" s="4" t="str">
        <f t="shared" si="1"/>
        <v>沖縄県那覇市前島3丁目9-20 ポルトウール</v>
      </c>
      <c r="D233" s="4" t="s">
        <v>804</v>
      </c>
      <c r="E233" s="4" t="s">
        <v>805</v>
      </c>
      <c r="F233" s="4" t="s">
        <v>15</v>
      </c>
      <c r="G233" s="4" t="s">
        <v>806</v>
      </c>
      <c r="H233" s="4" t="s">
        <v>9</v>
      </c>
      <c r="I233" s="4" t="s">
        <v>10</v>
      </c>
      <c r="J233" s="4" t="s">
        <v>18</v>
      </c>
      <c r="K233" s="6" t="s">
        <v>23</v>
      </c>
      <c r="L233" s="7"/>
    </row>
    <row r="234">
      <c r="A234" s="2" t="str">
        <f>IFERROR(__xludf.DUMMYFUNCTION("REGEXEXTRACT(G234, ""^[^都道府県]+[都道府県]"")
"),"富山県")</f>
        <v>富山県</v>
      </c>
      <c r="B234" s="4" t="str">
        <f>IFERROR(__xludf.DUMMYFUNCTION("REGEXEXTRACT(G234, ""^[^都道府県]+[都道府県]([^0-9]+?[市区町村]+)"")
"),"高岡市")</f>
        <v>高岡市</v>
      </c>
      <c r="C234" s="4" t="str">
        <f t="shared" si="1"/>
        <v>富山県高岡市駅南4-5-31 駅南第2レジデンス</v>
      </c>
      <c r="D234" s="4" t="s">
        <v>807</v>
      </c>
      <c r="E234" s="4" t="s">
        <v>808</v>
      </c>
      <c r="F234" s="4" t="s">
        <v>48</v>
      </c>
      <c r="G234" s="4" t="s">
        <v>809</v>
      </c>
      <c r="H234" s="4" t="s">
        <v>58</v>
      </c>
      <c r="I234" s="4" t="s">
        <v>10</v>
      </c>
      <c r="J234" s="5"/>
      <c r="K234" s="4" t="s">
        <v>109</v>
      </c>
      <c r="L234" s="5"/>
    </row>
    <row r="235">
      <c r="A235" s="2" t="str">
        <f>IFERROR(__xludf.DUMMYFUNCTION("REGEXEXTRACT(G235, ""^[^都道府県]+[都道府県]"")
"),"富山県")</f>
        <v>富山県</v>
      </c>
      <c r="B235" s="4" t="str">
        <f>IFERROR(__xludf.DUMMYFUNCTION("REGEXEXTRACT(G235, ""^[^都道府県]+[都道府県]([^0-9]+?[市区町村]+)"")
"),"富山市")</f>
        <v>富山市</v>
      </c>
      <c r="C235" s="4" t="str">
        <f t="shared" si="1"/>
        <v>富山県富山市千石町5丁目3-5 パールハイツ</v>
      </c>
      <c r="D235" s="4" t="s">
        <v>810</v>
      </c>
      <c r="E235" s="4" t="s">
        <v>811</v>
      </c>
      <c r="F235" s="4" t="s">
        <v>101</v>
      </c>
      <c r="G235" s="4" t="s">
        <v>812</v>
      </c>
      <c r="H235" s="4" t="s">
        <v>58</v>
      </c>
      <c r="I235" s="4" t="s">
        <v>10</v>
      </c>
      <c r="J235" s="4" t="s">
        <v>11</v>
      </c>
      <c r="K235" s="4" t="s">
        <v>813</v>
      </c>
      <c r="L235" s="5"/>
    </row>
    <row r="236">
      <c r="A236" s="2" t="str">
        <f>IFERROR(__xludf.DUMMYFUNCTION("REGEXEXTRACT(G236, ""^[^都道府県]+[都道府県]"")
"),"富山県")</f>
        <v>富山県</v>
      </c>
      <c r="B236" s="4" t="str">
        <f>IFERROR(__xludf.DUMMYFUNCTION("REGEXEXTRACT(G236, ""^[^都道府県]+[都道府県]([^0-9]+?[市区町村]+)"")
"),"富山市")</f>
        <v>富山市</v>
      </c>
      <c r="C236" s="4" t="str">
        <f t="shared" si="1"/>
        <v>富山県富山市桜木町6-4 千歳ビル 3階です</v>
      </c>
      <c r="D236" s="4" t="s">
        <v>814</v>
      </c>
      <c r="E236" s="4" t="s">
        <v>815</v>
      </c>
      <c r="F236" s="4" t="s">
        <v>48</v>
      </c>
      <c r="G236" s="4" t="s">
        <v>816</v>
      </c>
      <c r="H236" s="4" t="s">
        <v>113</v>
      </c>
      <c r="I236" s="4" t="s">
        <v>44</v>
      </c>
      <c r="J236" s="5"/>
      <c r="K236" s="4" t="s">
        <v>817</v>
      </c>
      <c r="L236" s="5"/>
    </row>
    <row r="237">
      <c r="A237" s="2" t="str">
        <f>IFERROR(__xludf.DUMMYFUNCTION("REGEXEXTRACT(G237, ""^[^都道府県]+[都道府県]"")
"),"富山県")</f>
        <v>富山県</v>
      </c>
      <c r="B237" s="4" t="str">
        <f>IFERROR(__xludf.DUMMYFUNCTION("REGEXEXTRACT(G237, ""^[^都道府県]+[都道府県]([^0-9]+?[市区町村]+)"")
"),"富山市")</f>
        <v>富山市</v>
      </c>
      <c r="C237" s="4" t="str">
        <f t="shared" si="1"/>
        <v>富山県富山市磯部町4丁目1-13 トーカンマンション磯部町</v>
      </c>
      <c r="D237" s="4" t="s">
        <v>818</v>
      </c>
      <c r="E237" s="4" t="s">
        <v>819</v>
      </c>
      <c r="F237" s="4" t="s">
        <v>15</v>
      </c>
      <c r="G237" s="4" t="s">
        <v>820</v>
      </c>
      <c r="H237" s="4" t="s">
        <v>113</v>
      </c>
      <c r="I237" s="4" t="s">
        <v>44</v>
      </c>
      <c r="J237" s="5"/>
      <c r="K237" s="4" t="s">
        <v>481</v>
      </c>
      <c r="L237" s="5"/>
    </row>
    <row r="238">
      <c r="A238" s="2" t="str">
        <f>IFERROR(__xludf.DUMMYFUNCTION("REGEXEXTRACT(G238, ""^[^都道府県]+[都道府県]"")
"),"富山県")</f>
        <v>富山県</v>
      </c>
      <c r="B238" s="4" t="str">
        <f>IFERROR(__xludf.DUMMYFUNCTION("REGEXEXTRACT(G238, ""^[^都道府県]+[都道府県]([^0-9]+?[市区町村]+)"")
"),"滑川市")</f>
        <v>滑川市</v>
      </c>
      <c r="C238" s="4" t="str">
        <f t="shared" si="1"/>
        <v>富山県滑川市常盤町616 スタンザトキワ</v>
      </c>
      <c r="D238" s="4" t="s">
        <v>821</v>
      </c>
      <c r="E238" s="4" t="s">
        <v>822</v>
      </c>
      <c r="F238" s="4" t="s">
        <v>7</v>
      </c>
      <c r="G238" s="4" t="s">
        <v>823</v>
      </c>
      <c r="H238" s="4" t="s">
        <v>58</v>
      </c>
      <c r="I238" s="4" t="s">
        <v>44</v>
      </c>
      <c r="J238" s="4" t="s">
        <v>11</v>
      </c>
      <c r="K238" s="4" t="s">
        <v>45</v>
      </c>
      <c r="L238" s="5"/>
    </row>
    <row r="239">
      <c r="A239" s="2" t="str">
        <f>IFERROR(__xludf.DUMMYFUNCTION("REGEXEXTRACT(G239, ""^[^都道府県]+[都道府県]"")
"),"石川県")</f>
        <v>石川県</v>
      </c>
      <c r="B239" s="4" t="str">
        <f>IFERROR(__xludf.DUMMYFUNCTION("REGEXEXTRACT(G239, ""^[^都道府県]+[都道府県]([^0-9]+?[市区町村]+)"")
"),"金沢市")</f>
        <v>金沢市</v>
      </c>
      <c r="C239" s="4" t="str">
        <f t="shared" si="1"/>
        <v>石川県金沢市此花町3-3 ライブ1</v>
      </c>
      <c r="D239" s="4" t="s">
        <v>824</v>
      </c>
      <c r="E239" s="4" t="s">
        <v>825</v>
      </c>
      <c r="F239" s="4" t="s">
        <v>48</v>
      </c>
      <c r="G239" s="4" t="s">
        <v>826</v>
      </c>
      <c r="H239" s="4" t="s">
        <v>9</v>
      </c>
      <c r="I239" s="4" t="s">
        <v>10</v>
      </c>
      <c r="J239" s="4" t="s">
        <v>11</v>
      </c>
      <c r="K239" s="5"/>
      <c r="L239" s="5"/>
    </row>
    <row r="240">
      <c r="A240" s="2" t="str">
        <f>IFERROR(__xludf.DUMMYFUNCTION("REGEXEXTRACT(G240, ""^[^都道府県]+[都道府県]"")
"),"石川県")</f>
        <v>石川県</v>
      </c>
      <c r="B240" s="4" t="str">
        <f>IFERROR(__xludf.DUMMYFUNCTION("REGEXEXTRACT(G240, ""^[^都道府県]+[都道府県]([^0-9]+?[市区町村]+)"")
"),"金沢市")</f>
        <v>金沢市</v>
      </c>
      <c r="C240" s="4" t="str">
        <f t="shared" si="1"/>
        <v>石川県金沢市北安江1丁目7-12 リューキ・7</v>
      </c>
      <c r="D240" s="4" t="s">
        <v>827</v>
      </c>
      <c r="E240" s="4" t="s">
        <v>828</v>
      </c>
      <c r="F240" s="4" t="s">
        <v>101</v>
      </c>
      <c r="G240" s="4" t="s">
        <v>829</v>
      </c>
      <c r="H240" s="4" t="s">
        <v>58</v>
      </c>
      <c r="I240" s="4" t="s">
        <v>10</v>
      </c>
      <c r="J240" s="4" t="s">
        <v>11</v>
      </c>
      <c r="K240" s="5"/>
      <c r="L240" s="5"/>
    </row>
    <row r="241">
      <c r="A241" s="2" t="str">
        <f>IFERROR(__xludf.DUMMYFUNCTION("REGEXEXTRACT(G241, ""^[^都道府県]+[都道府県]"")
"),"石川県")</f>
        <v>石川県</v>
      </c>
      <c r="B241" s="4" t="str">
        <f>IFERROR(__xludf.DUMMYFUNCTION("REGEXEXTRACT(G241, ""^[^都道府県]+[都道府県]([^0-9]+?[市区町村]+)"")
"),"金沢市")</f>
        <v>金沢市</v>
      </c>
      <c r="C241" s="4" t="str">
        <f t="shared" si="1"/>
        <v>石川県金沢市尾張町1丁目2-12 メゾン・ド・グロリエ</v>
      </c>
      <c r="D241" s="4" t="s">
        <v>830</v>
      </c>
      <c r="E241" s="4" t="s">
        <v>831</v>
      </c>
      <c r="F241" s="4" t="s">
        <v>7</v>
      </c>
      <c r="G241" s="4" t="s">
        <v>832</v>
      </c>
      <c r="H241" s="4" t="s">
        <v>58</v>
      </c>
      <c r="I241" s="4" t="s">
        <v>44</v>
      </c>
      <c r="J241" s="4" t="s">
        <v>11</v>
      </c>
      <c r="K241" s="4" t="s">
        <v>45</v>
      </c>
      <c r="L241" s="5"/>
    </row>
    <row r="242">
      <c r="A242" s="2" t="str">
        <f>IFERROR(__xludf.DUMMYFUNCTION("REGEXEXTRACT(G242, ""^[^都道府県]+[都道府県]"")
"),"熊本県")</f>
        <v>熊本県</v>
      </c>
      <c r="B242" s="4" t="str">
        <f>IFERROR(__xludf.DUMMYFUNCTION("REGEXEXTRACT(G242, ""^[^都道府県]+[都道府県]([^0-9]+?[市区町村]+)"")
"),"熊本市")</f>
        <v>熊本市</v>
      </c>
      <c r="C242" s="4" t="str">
        <f t="shared" si="1"/>
        <v>熊本県熊本市中央区鍛冶屋町6 朝日プラザ鍛冶屋町</v>
      </c>
      <c r="D242" s="4" t="s">
        <v>833</v>
      </c>
      <c r="E242" s="4" t="s">
        <v>834</v>
      </c>
      <c r="F242" s="4" t="s">
        <v>48</v>
      </c>
      <c r="G242" s="4" t="s">
        <v>835</v>
      </c>
      <c r="H242" s="4" t="s">
        <v>58</v>
      </c>
      <c r="I242" s="4" t="s">
        <v>44</v>
      </c>
      <c r="J242" s="4" t="s">
        <v>11</v>
      </c>
      <c r="K242" s="5"/>
      <c r="L242" s="5"/>
    </row>
    <row r="243">
      <c r="A243" s="2" t="str">
        <f>IFERROR(__xludf.DUMMYFUNCTION("REGEXEXTRACT(G243, ""^[^都道府県]+[都道府県]"")
"),"熊本県")</f>
        <v>熊本県</v>
      </c>
      <c r="B243" s="4" t="str">
        <f>IFERROR(__xludf.DUMMYFUNCTION("REGEXEXTRACT(G243, ""^[^都道府県]+[都道府県]([^0-9]+?[市区町村]+)"")
"),"熊本市")</f>
        <v>熊本市</v>
      </c>
      <c r="C243" s="4" t="str">
        <f t="shared" si="1"/>
        <v>熊本県熊本市中央区細工町1丁目45 アーバンビルドパート1</v>
      </c>
      <c r="D243" s="4" t="s">
        <v>836</v>
      </c>
      <c r="E243" s="4" t="s">
        <v>837</v>
      </c>
      <c r="F243" s="4" t="s">
        <v>15</v>
      </c>
      <c r="G243" s="4" t="s">
        <v>838</v>
      </c>
      <c r="H243" s="4" t="s">
        <v>58</v>
      </c>
      <c r="I243" s="4" t="s">
        <v>10</v>
      </c>
      <c r="J243" s="4" t="s">
        <v>11</v>
      </c>
      <c r="K243" s="5"/>
      <c r="L243" s="5"/>
    </row>
    <row r="244">
      <c r="A244" s="2" t="str">
        <f>IFERROR(__xludf.DUMMYFUNCTION("REGEXEXTRACT(G244, ""^[^都道府県]+[都道府県]"")
"),"滋賀県")</f>
        <v>滋賀県</v>
      </c>
      <c r="B244" s="4" t="str">
        <f>IFERROR(__xludf.DUMMYFUNCTION("REGEXEXTRACT(G244, ""^[^都道府県]+[都道府県]([^0-9]+?[市区町村]+)"")
"),"長浜市")</f>
        <v>長浜市</v>
      </c>
      <c r="C244" s="4" t="str">
        <f t="shared" si="1"/>
        <v>滋賀県長浜市神照町696 松ぼっくり</v>
      </c>
      <c r="D244" s="4" t="s">
        <v>839</v>
      </c>
      <c r="E244" s="4" t="s">
        <v>840</v>
      </c>
      <c r="F244" s="4" t="s">
        <v>15</v>
      </c>
      <c r="G244" s="4" t="s">
        <v>841</v>
      </c>
      <c r="H244" s="4" t="s">
        <v>9</v>
      </c>
      <c r="I244" s="4" t="s">
        <v>10</v>
      </c>
      <c r="J244" s="5"/>
      <c r="K244" s="4" t="s">
        <v>842</v>
      </c>
      <c r="L244" s="5"/>
    </row>
    <row r="245">
      <c r="A245" s="2" t="str">
        <f>IFERROR(__xludf.DUMMYFUNCTION("REGEXEXTRACT(G245, ""^[^都道府県]+[都道府県]"")
"),"滋賀県")</f>
        <v>滋賀県</v>
      </c>
      <c r="B245" s="4" t="str">
        <f>IFERROR(__xludf.DUMMYFUNCTION("REGEXEXTRACT(G245, ""^[^都道府県]+[都道府県]([^0-9]+?[市区町村]+)"")
"),"大津市")</f>
        <v>大津市</v>
      </c>
      <c r="C245" s="4" t="str">
        <f t="shared" si="1"/>
        <v>滋賀県大津市浜大津1-2-15 CITYSPIRE浜大津駅前</v>
      </c>
      <c r="D245" s="4" t="s">
        <v>843</v>
      </c>
      <c r="E245" s="4" t="s">
        <v>844</v>
      </c>
      <c r="F245" s="4" t="s">
        <v>15</v>
      </c>
      <c r="G245" s="4" t="s">
        <v>845</v>
      </c>
      <c r="H245" s="4" t="s">
        <v>58</v>
      </c>
      <c r="I245" s="4" t="s">
        <v>10</v>
      </c>
      <c r="J245" s="5"/>
      <c r="K245" s="5"/>
      <c r="L245" s="5"/>
    </row>
    <row r="246">
      <c r="A246" s="2" t="str">
        <f>IFERROR(__xludf.DUMMYFUNCTION("REGEXEXTRACT(G246, ""^[^都道府県]+[都道府県]"")
"),"滋賀県")</f>
        <v>滋賀県</v>
      </c>
      <c r="B246" s="4" t="str">
        <f>IFERROR(__xludf.DUMMYFUNCTION("REGEXEXTRACT(G246, ""^[^都道府県]+[都道府県]([^0-9]+?[市区町村]+)"")
"),"大津市")</f>
        <v>大津市</v>
      </c>
      <c r="C246" s="4" t="str">
        <f t="shared" si="1"/>
        <v>滋賀県大津市中央1丁目2-35 アセンティアびわこ</v>
      </c>
      <c r="D246" s="4" t="s">
        <v>846</v>
      </c>
      <c r="E246" s="4" t="s">
        <v>847</v>
      </c>
      <c r="F246" s="4" t="s">
        <v>48</v>
      </c>
      <c r="G246" s="4" t="s">
        <v>848</v>
      </c>
      <c r="H246" s="4" t="s">
        <v>9</v>
      </c>
      <c r="I246" s="4" t="s">
        <v>10</v>
      </c>
      <c r="J246" s="4" t="s">
        <v>11</v>
      </c>
      <c r="K246" s="5"/>
      <c r="L246" s="5"/>
    </row>
    <row r="247">
      <c r="A247" s="2" t="str">
        <f>IFERROR(__xludf.DUMMYFUNCTION("REGEXEXTRACT(G247, ""^[^都道府県]+[都道府県]"")
"),"滋賀県")</f>
        <v>滋賀県</v>
      </c>
      <c r="B247" s="4" t="str">
        <f>IFERROR(__xludf.DUMMYFUNCTION("REGEXEXTRACT(G247, ""^[^都道府県]+[都道府県]([^0-9]+?[市区町村]+)"")
"),"大津市")</f>
        <v>大津市</v>
      </c>
      <c r="C247" s="4" t="str">
        <f t="shared" si="1"/>
        <v>滋賀県大津市中央1丁目2-35 アセンティアびわこ</v>
      </c>
      <c r="D247" s="10" t="s">
        <v>849</v>
      </c>
      <c r="E247" s="10" t="s">
        <v>850</v>
      </c>
      <c r="F247" s="10" t="s">
        <v>48</v>
      </c>
      <c r="G247" s="10" t="s">
        <v>851</v>
      </c>
      <c r="H247" s="10" t="s">
        <v>9</v>
      </c>
      <c r="I247" s="10" t="s">
        <v>10</v>
      </c>
      <c r="J247" s="10" t="s">
        <v>18</v>
      </c>
      <c r="K247" s="10" t="s">
        <v>852</v>
      </c>
      <c r="L247" s="18"/>
    </row>
    <row r="248">
      <c r="A248" s="2" t="str">
        <f>IFERROR(__xludf.DUMMYFUNCTION("REGEXEXTRACT(G248, ""^[^都道府県]+[都道府県]"")
"),"滋賀県")</f>
        <v>滋賀県</v>
      </c>
      <c r="B248" s="4" t="str">
        <f>IFERROR(__xludf.DUMMYFUNCTION("REGEXEXTRACT(G248, ""^[^都道府県]+[都道府県]([^0-9]+?[市区町村]+)"")
"),"草津市")</f>
        <v>草津市</v>
      </c>
      <c r="C248" s="4" t="str">
        <f t="shared" si="1"/>
        <v>滋賀県草津市西渋川1丁目8-6 アリエッタ草津</v>
      </c>
      <c r="D248" s="4" t="s">
        <v>853</v>
      </c>
      <c r="E248" s="4" t="s">
        <v>854</v>
      </c>
      <c r="F248" s="4" t="s">
        <v>85</v>
      </c>
      <c r="G248" s="4" t="s">
        <v>855</v>
      </c>
      <c r="H248" s="4" t="s">
        <v>168</v>
      </c>
      <c r="I248" s="4" t="s">
        <v>10</v>
      </c>
      <c r="J248" s="4" t="s">
        <v>11</v>
      </c>
      <c r="K248" s="5"/>
      <c r="L248" s="5"/>
    </row>
    <row r="249">
      <c r="A249" s="2" t="str">
        <f>IFERROR(__xludf.DUMMYFUNCTION("REGEXEXTRACT(G249, ""^[^都道府県]+[都道府県]"")
"),"長崎県")</f>
        <v>長崎県</v>
      </c>
      <c r="B249" s="4" t="str">
        <f>IFERROR(__xludf.DUMMYFUNCTION("REGEXEXTRACT(G249, ""^[^都道府県]+[都道府県]([^0-9]+?[市区町村]+)"")
"),"長崎市")</f>
        <v>長崎市</v>
      </c>
      <c r="C249" s="4" t="str">
        <f t="shared" si="1"/>
        <v>長崎県長崎市西坂町8-2 シャトレ西坂公園通</v>
      </c>
      <c r="D249" s="4" t="s">
        <v>856</v>
      </c>
      <c r="E249" s="4" t="s">
        <v>857</v>
      </c>
      <c r="F249" s="4" t="s">
        <v>48</v>
      </c>
      <c r="G249" s="4" t="s">
        <v>858</v>
      </c>
      <c r="H249" s="4" t="s">
        <v>58</v>
      </c>
      <c r="I249" s="4" t="s">
        <v>10</v>
      </c>
      <c r="J249" s="5"/>
      <c r="K249" s="5"/>
      <c r="L249" s="5"/>
    </row>
    <row r="250">
      <c r="A250" s="2" t="str">
        <f>IFERROR(__xludf.DUMMYFUNCTION("REGEXEXTRACT(G250, ""^[^都道府県]+[都道府県]"")
"),"秋田県")</f>
        <v>秋田県</v>
      </c>
      <c r="B250" s="4" t="str">
        <f>IFERROR(__xludf.DUMMYFUNCTION("REGEXEXTRACT(G250, ""^[^都道府県]+[都道府県]([^0-9]+?[市区町村]+)"")
"),"秋田市")</f>
        <v>秋田市</v>
      </c>
      <c r="C250" s="4" t="str">
        <f t="shared" si="1"/>
        <v>秋田県秋田市南通築地9-34 メゾン・ド・レーヴ</v>
      </c>
      <c r="D250" s="4" t="s">
        <v>859</v>
      </c>
      <c r="E250" s="4" t="s">
        <v>860</v>
      </c>
      <c r="F250" s="4" t="s">
        <v>15</v>
      </c>
      <c r="G250" s="4" t="s">
        <v>861</v>
      </c>
      <c r="H250" s="4" t="s">
        <v>9</v>
      </c>
      <c r="I250" s="4" t="s">
        <v>10</v>
      </c>
      <c r="J250" s="4" t="s">
        <v>11</v>
      </c>
      <c r="K250" s="5"/>
      <c r="L250" s="5"/>
    </row>
    <row r="251">
      <c r="A251" s="2" t="str">
        <f>IFERROR(__xludf.DUMMYFUNCTION("REGEXEXTRACT(G251, ""^[^都道府県]+[都道府県]"")
"),"佐賀県")</f>
        <v>佐賀県</v>
      </c>
      <c r="B251" s="4" t="str">
        <f>IFERROR(__xludf.DUMMYFUNCTION("REGEXEXTRACT(G251, ""^[^都道府県]+[都道府県]([^0-9]+?[市区町村]+)"")
"),"佐賀市")</f>
        <v>佐賀市</v>
      </c>
      <c r="C251" s="4" t="str">
        <f t="shared" si="1"/>
        <v>佐賀県佐賀市愛敬町1-1 中野マンション</v>
      </c>
      <c r="D251" s="4" t="s">
        <v>862</v>
      </c>
      <c r="E251" s="4" t="s">
        <v>863</v>
      </c>
      <c r="F251" s="4" t="s">
        <v>7</v>
      </c>
      <c r="G251" s="4" t="s">
        <v>864</v>
      </c>
      <c r="H251" s="4" t="s">
        <v>9</v>
      </c>
      <c r="I251" s="4" t="s">
        <v>10</v>
      </c>
      <c r="J251" s="4" t="s">
        <v>11</v>
      </c>
      <c r="K251" s="4" t="s">
        <v>12</v>
      </c>
      <c r="L251" s="5"/>
    </row>
    <row r="252">
      <c r="A252" s="2" t="str">
        <f>IFERROR(__xludf.DUMMYFUNCTION("REGEXEXTRACT(G252, ""^[^都道府県]+[都道府県]"")
"),"徳島県")</f>
        <v>徳島県</v>
      </c>
      <c r="B252" s="4" t="str">
        <f>IFERROR(__xludf.DUMMYFUNCTION("REGEXEXTRACT(G252, ""^[^都道府県]+[都道府県]([^0-9]+?[市区町村]+)"")
"),"徳島市")</f>
        <v>徳島市</v>
      </c>
      <c r="C252" s="4" t="str">
        <f t="shared" si="1"/>
        <v>徳島県徳島市銀座10 福助ビル第63</v>
      </c>
      <c r="D252" s="4" t="s">
        <v>865</v>
      </c>
      <c r="E252" s="4" t="s">
        <v>866</v>
      </c>
      <c r="F252" s="4" t="s">
        <v>243</v>
      </c>
      <c r="G252" s="4" t="s">
        <v>867</v>
      </c>
      <c r="H252" s="4" t="s">
        <v>9</v>
      </c>
      <c r="I252" s="4" t="s">
        <v>10</v>
      </c>
      <c r="J252" s="4" t="s">
        <v>11</v>
      </c>
      <c r="K252" s="4" t="s">
        <v>151</v>
      </c>
      <c r="L252" s="5"/>
    </row>
    <row r="253">
      <c r="A253" s="2" t="str">
        <f>IFERROR(__xludf.DUMMYFUNCTION("REGEXEXTRACT(G253, ""^[^都道府県]+[都道府県]"")
"),"青森県")</f>
        <v>青森県</v>
      </c>
      <c r="B253" s="4" t="str">
        <f>IFERROR(__xludf.DUMMYFUNCTION("REGEXEXTRACT(G253, ""^[^都道府県]+[都道府県]([^0-9]+?[市区町村]+)"")
"),"青森市")</f>
        <v>青森市</v>
      </c>
      <c r="C253" s="4" t="str">
        <f t="shared" si="1"/>
        <v>青森県青森市安方1丁目9-16 エクセルビュー</v>
      </c>
      <c r="D253" s="4" t="s">
        <v>868</v>
      </c>
      <c r="E253" s="4" t="s">
        <v>869</v>
      </c>
      <c r="F253" s="4" t="s">
        <v>101</v>
      </c>
      <c r="G253" s="4" t="s">
        <v>870</v>
      </c>
      <c r="H253" s="4" t="s">
        <v>9</v>
      </c>
      <c r="I253" s="4" t="s">
        <v>10</v>
      </c>
      <c r="J253" s="4" t="s">
        <v>11</v>
      </c>
      <c r="K253" s="3"/>
      <c r="L253" s="3"/>
    </row>
    <row r="254">
      <c r="A254" s="2" t="str">
        <f>IFERROR(__xludf.DUMMYFUNCTION("REGEXEXTRACT(G254, ""^[^都道府県]+[都道府県]"")
"),"京都")</f>
        <v>京都</v>
      </c>
      <c r="B254" s="4" t="str">
        <f>IFERROR(__xludf.DUMMYFUNCTION("REGEXEXTRACT(G254, ""^[^都道府県]+[都道府県]([^0-9]+?[市区町村]+)"")
"),"府京都市")</f>
        <v>府京都市</v>
      </c>
      <c r="C254" s="4" t="str">
        <f t="shared" si="1"/>
        <v>京都府京都市南区吉祥院西ノ庄西中町1 明輝マンションA棟</v>
      </c>
      <c r="D254" s="4" t="s">
        <v>871</v>
      </c>
      <c r="E254" s="4" t="s">
        <v>872</v>
      </c>
      <c r="F254" s="4" t="s">
        <v>15</v>
      </c>
      <c r="G254" s="4" t="s">
        <v>873</v>
      </c>
      <c r="H254" s="4" t="s">
        <v>58</v>
      </c>
      <c r="I254" s="4" t="s">
        <v>44</v>
      </c>
      <c r="J254" s="4" t="s">
        <v>11</v>
      </c>
      <c r="K254" s="3"/>
      <c r="L254" s="3"/>
    </row>
    <row r="255">
      <c r="A255" s="2" t="str">
        <f>IFERROR(__xludf.DUMMYFUNCTION("REGEXEXTRACT(G255, ""^[^都道府県]+[都道府県]"")
"),"宮崎県")</f>
        <v>宮崎県</v>
      </c>
      <c r="B255" s="4" t="str">
        <f>IFERROR(__xludf.DUMMYFUNCTION("REGEXEXTRACT(G255, ""^[^都道府県]+[都道府県]([^0-9]+?[市区町村]+)"")
"),"宮崎市")</f>
        <v>宮崎市</v>
      </c>
      <c r="C255" s="4" t="str">
        <f t="shared" si="1"/>
        <v>宮崎県宮崎市丸島町3-15 シーラカンスKANDY</v>
      </c>
      <c r="D255" s="4" t="s">
        <v>874</v>
      </c>
      <c r="E255" s="4" t="s">
        <v>875</v>
      </c>
      <c r="F255" s="4" t="s">
        <v>15</v>
      </c>
      <c r="G255" s="4" t="s">
        <v>876</v>
      </c>
      <c r="H255" s="4" t="s">
        <v>58</v>
      </c>
      <c r="I255" s="4" t="s">
        <v>10</v>
      </c>
      <c r="J255" s="4" t="s">
        <v>11</v>
      </c>
      <c r="K255" s="4" t="s">
        <v>877</v>
      </c>
      <c r="L255" s="5"/>
    </row>
    <row r="256">
      <c r="A256" s="2" t="str">
        <f>IFERROR(__xludf.DUMMYFUNCTION("REGEXEXTRACT(G256, ""^[^都道府県]+[都道府県]"")
"),"山口県")</f>
        <v>山口県</v>
      </c>
      <c r="B256" s="4" t="str">
        <f>IFERROR(__xludf.DUMMYFUNCTION("REGEXEXTRACT(G256, ""^[^都道府県]+[都道府県]([^0-9]+?[市区町村]+)"")
"),"山口市")</f>
        <v>山口市</v>
      </c>
      <c r="C256" s="4" t="str">
        <f t="shared" si="1"/>
        <v>山口県山口市黄金町6-5 エフ弐番館</v>
      </c>
      <c r="D256" s="4" t="s">
        <v>878</v>
      </c>
      <c r="E256" s="4" t="s">
        <v>879</v>
      </c>
      <c r="F256" s="4" t="s">
        <v>15</v>
      </c>
      <c r="G256" s="4" t="s">
        <v>880</v>
      </c>
      <c r="H256" s="4" t="s">
        <v>58</v>
      </c>
      <c r="I256" s="4" t="s">
        <v>10</v>
      </c>
      <c r="J256" s="4" t="s">
        <v>11</v>
      </c>
      <c r="K256" s="4" t="s">
        <v>881</v>
      </c>
      <c r="L256" s="5"/>
    </row>
    <row r="257">
      <c r="A257" s="2" t="str">
        <f>IFERROR(__xludf.DUMMYFUNCTION("REGEXEXTRACT(G257, ""^[^都道府県]+[都道府県]"")
"),"鹿児島県")</f>
        <v>鹿児島県</v>
      </c>
      <c r="B257" s="4" t="str">
        <f>IFERROR(__xludf.DUMMYFUNCTION("REGEXEXTRACT(G257, ""^[^都道府県]+[都道府県]([^0-9]+?[市区町村]+)"")
"),"鹿児島市")</f>
        <v>鹿児島市</v>
      </c>
      <c r="C257" s="4" t="str">
        <f t="shared" si="1"/>
        <v>鹿児島県鹿児島市新屋敷町19-10 JAウイング新屋敷</v>
      </c>
      <c r="D257" s="4" t="s">
        <v>882</v>
      </c>
      <c r="E257" s="4" t="s">
        <v>883</v>
      </c>
      <c r="F257" s="4" t="s">
        <v>85</v>
      </c>
      <c r="G257" s="4" t="s">
        <v>884</v>
      </c>
      <c r="H257" s="4" t="s">
        <v>58</v>
      </c>
      <c r="I257" s="4" t="s">
        <v>44</v>
      </c>
      <c r="J257" s="4" t="s">
        <v>11</v>
      </c>
      <c r="K257" s="5"/>
      <c r="L257" s="5"/>
    </row>
    <row r="258">
      <c r="A258" s="2" t="str">
        <f>IFERROR(__xludf.DUMMYFUNCTION("REGEXEXTRACT(G258, ""^[^都道府県]+[都道府県]"")
"),"新潟県")</f>
        <v>新潟県</v>
      </c>
      <c r="B258" s="4" t="str">
        <f>IFERROR(__xludf.DUMMYFUNCTION("REGEXEXTRACT(G258, ""^[^都道府県]+[都道府県]([^0-9]+?[市区町村]+)"")
"),"新潟市")</f>
        <v>新潟市</v>
      </c>
      <c r="C258" s="4" t="str">
        <f t="shared" si="1"/>
        <v>新潟県新潟市中央区笹口2丁目7-14 メゾン・ド・リッシュ</v>
      </c>
      <c r="D258" s="4" t="s">
        <v>885</v>
      </c>
      <c r="E258" s="4" t="s">
        <v>886</v>
      </c>
      <c r="F258" s="4" t="s">
        <v>243</v>
      </c>
      <c r="G258" s="4" t="s">
        <v>887</v>
      </c>
      <c r="H258" s="4" t="s">
        <v>9</v>
      </c>
      <c r="I258" s="4" t="s">
        <v>10</v>
      </c>
      <c r="J258" s="4" t="s">
        <v>11</v>
      </c>
      <c r="K258" s="5"/>
      <c r="L258" s="5"/>
    </row>
    <row r="259">
      <c r="A259" s="2" t="str">
        <f>IFERROR(__xludf.DUMMYFUNCTION("REGEXEXTRACT(G259, ""^[^都道府県]+[都道府県]"")
"),"新潟県")</f>
        <v>新潟県</v>
      </c>
      <c r="B259" s="4" t="str">
        <f>IFERROR(__xludf.DUMMYFUNCTION("REGEXEXTRACT(G259, ""^[^都道府県]+[都道府県]([^0-9]+?[市区町村]+)"")
"),"長岡市")</f>
        <v>長岡市</v>
      </c>
      <c r="C259" s="4" t="str">
        <f t="shared" si="1"/>
        <v>新潟県長岡市渡里町4-5 オクトワール長岡中央</v>
      </c>
      <c r="D259" s="4" t="s">
        <v>888</v>
      </c>
      <c r="E259" s="4" t="s">
        <v>889</v>
      </c>
      <c r="F259" s="4" t="s">
        <v>85</v>
      </c>
      <c r="G259" s="4" t="s">
        <v>890</v>
      </c>
      <c r="H259" s="4" t="s">
        <v>9</v>
      </c>
      <c r="I259" s="4" t="s">
        <v>10</v>
      </c>
      <c r="J259" s="4" t="s">
        <v>11</v>
      </c>
      <c r="K259" s="2" t="s">
        <v>891</v>
      </c>
      <c r="L259" s="3"/>
    </row>
    <row r="260">
      <c r="A260" s="3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</row>
    <row r="261">
      <c r="A261" s="3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</row>
    <row r="262">
      <c r="A262" s="3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</row>
    <row r="263">
      <c r="A263" s="3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</row>
    <row r="264">
      <c r="A264" s="3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</row>
    <row r="265">
      <c r="A265" s="3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</row>
    <row r="266">
      <c r="A266" s="3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</row>
    <row r="267">
      <c r="A267" s="3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</row>
    <row r="268">
      <c r="A268" s="3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</row>
    <row r="269">
      <c r="A269" s="3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</row>
    <row r="270">
      <c r="A270" s="3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</row>
    <row r="271">
      <c r="A271" s="3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</row>
    <row r="272">
      <c r="A272" s="3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</row>
    <row r="273">
      <c r="A273" s="3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</row>
    <row r="274">
      <c r="A274" s="3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</row>
    <row r="275">
      <c r="A275" s="3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</row>
    <row r="276">
      <c r="A276" s="3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</row>
    <row r="277">
      <c r="A277" s="3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</row>
    <row r="278">
      <c r="A278" s="3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</row>
    <row r="279">
      <c r="A279" s="3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</row>
    <row r="280">
      <c r="A280" s="3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</row>
    <row r="281">
      <c r="A281" s="3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</row>
    <row r="282">
      <c r="A282" s="3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</row>
    <row r="283">
      <c r="A283" s="3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</row>
    <row r="284">
      <c r="A284" s="3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</row>
    <row r="285">
      <c r="A285" s="3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</row>
    <row r="286">
      <c r="A286" s="3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</row>
    <row r="287">
      <c r="A287" s="3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</row>
    <row r="288">
      <c r="A288" s="3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</row>
    <row r="289">
      <c r="A289" s="3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</row>
    <row r="290">
      <c r="A290" s="3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</row>
    <row r="291">
      <c r="A291" s="3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</row>
    <row r="292">
      <c r="A292" s="3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</row>
    <row r="293">
      <c r="A293" s="3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</row>
    <row r="294">
      <c r="A294" s="3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</row>
    <row r="295">
      <c r="A295" s="3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</row>
    <row r="296">
      <c r="A296" s="3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</row>
    <row r="297">
      <c r="A297" s="3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</row>
    <row r="298">
      <c r="A298" s="3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</row>
    <row r="299">
      <c r="A299" s="3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</row>
    <row r="300">
      <c r="A300" s="3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</row>
    <row r="301">
      <c r="A301" s="3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</row>
    <row r="302">
      <c r="A302" s="3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</row>
    <row r="303">
      <c r="A303" s="3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</row>
    <row r="304">
      <c r="A304" s="3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</row>
    <row r="305">
      <c r="A305" s="3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</row>
    <row r="306">
      <c r="A306" s="3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</row>
    <row r="307">
      <c r="A307" s="3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</row>
    <row r="308">
      <c r="A308" s="3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</row>
    <row r="309">
      <c r="A309" s="3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</row>
    <row r="310">
      <c r="A310" s="3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</row>
    <row r="311">
      <c r="A311" s="3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</row>
    <row r="312">
      <c r="A312" s="3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</row>
    <row r="313">
      <c r="A313" s="3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</row>
    <row r="314">
      <c r="A314" s="3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</row>
    <row r="315">
      <c r="A315" s="3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</row>
    <row r="316">
      <c r="A316" s="3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</row>
    <row r="317">
      <c r="A317" s="3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</row>
    <row r="318">
      <c r="A318" s="3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</row>
    <row r="319">
      <c r="A319" s="3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</row>
    <row r="320">
      <c r="A320" s="3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</row>
    <row r="321">
      <c r="A321" s="3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</row>
    <row r="322">
      <c r="A322" s="3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</row>
    <row r="323">
      <c r="A323" s="3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</row>
    <row r="324">
      <c r="A324" s="3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</row>
    <row r="325">
      <c r="A325" s="3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</row>
    <row r="326">
      <c r="A326" s="3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</row>
    <row r="327">
      <c r="A327" s="3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</row>
    <row r="328">
      <c r="A328" s="3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</row>
    <row r="329">
      <c r="A329" s="3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</row>
    <row r="330">
      <c r="A330" s="3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</row>
    <row r="331">
      <c r="A331" s="3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</row>
    <row r="332">
      <c r="A332" s="3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</row>
    <row r="333">
      <c r="A333" s="3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</row>
    <row r="334">
      <c r="A334" s="3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</row>
    <row r="335">
      <c r="A335" s="3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</row>
    <row r="336">
      <c r="A336" s="3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</row>
    <row r="337">
      <c r="A337" s="3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</row>
    <row r="338">
      <c r="A338" s="3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</row>
    <row r="339">
      <c r="A339" s="3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</row>
    <row r="340">
      <c r="A340" s="3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</row>
    <row r="341">
      <c r="A341" s="3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</row>
    <row r="342">
      <c r="A342" s="3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</row>
    <row r="343">
      <c r="A343" s="3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</row>
    <row r="344">
      <c r="A344" s="3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</row>
    <row r="345">
      <c r="A345" s="3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</row>
    <row r="346">
      <c r="A346" s="3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</row>
    <row r="347">
      <c r="A347" s="3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</row>
    <row r="348">
      <c r="A348" s="3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</row>
    <row r="349">
      <c r="A349" s="3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</row>
    <row r="350">
      <c r="A350" s="3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</row>
    <row r="351">
      <c r="A351" s="3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</row>
    <row r="352">
      <c r="A352" s="3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</row>
    <row r="353">
      <c r="A353" s="3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</row>
    <row r="354">
      <c r="A354" s="3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</row>
    <row r="355">
      <c r="A355" s="3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</row>
    <row r="356">
      <c r="A356" s="3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</row>
    <row r="357">
      <c r="A357" s="3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</row>
    <row r="358">
      <c r="A358" s="3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</row>
    <row r="359">
      <c r="A359" s="3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</row>
    <row r="360">
      <c r="A360" s="3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</row>
    <row r="361">
      <c r="A361" s="3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</row>
    <row r="362">
      <c r="A362" s="3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</row>
    <row r="363">
      <c r="A363" s="3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</row>
    <row r="364">
      <c r="A364" s="3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</row>
    <row r="365">
      <c r="A365" s="3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</row>
    <row r="366">
      <c r="A366" s="3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</row>
    <row r="367">
      <c r="A367" s="3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</row>
    <row r="368">
      <c r="A368" s="3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</row>
    <row r="369">
      <c r="A369" s="3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</row>
    <row r="370">
      <c r="A370" s="3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</row>
    <row r="371">
      <c r="A371" s="3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</row>
    <row r="372">
      <c r="A372" s="3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</row>
    <row r="373">
      <c r="A373" s="3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</row>
    <row r="374">
      <c r="A374" s="3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</row>
    <row r="375">
      <c r="A375" s="3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</row>
    <row r="376">
      <c r="A376" s="3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</row>
    <row r="377">
      <c r="A377" s="3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</row>
    <row r="378">
      <c r="A378" s="3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</row>
    <row r="379">
      <c r="A379" s="3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</row>
    <row r="380">
      <c r="A380" s="3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</row>
    <row r="381">
      <c r="A381" s="3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</row>
    <row r="382">
      <c r="A382" s="3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</row>
    <row r="383">
      <c r="A383" s="3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</row>
    <row r="384">
      <c r="A384" s="3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</row>
    <row r="385">
      <c r="A385" s="3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</row>
    <row r="386">
      <c r="A386" s="3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</row>
    <row r="387">
      <c r="A387" s="3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</row>
    <row r="388">
      <c r="A388" s="3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</row>
    <row r="389">
      <c r="A389" s="3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</row>
    <row r="390">
      <c r="A390" s="3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</row>
    <row r="391">
      <c r="A391" s="3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</row>
    <row r="392">
      <c r="A392" s="3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</row>
    <row r="393">
      <c r="A393" s="3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</row>
    <row r="394">
      <c r="A394" s="3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</row>
    <row r="395">
      <c r="A395" s="3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</row>
    <row r="396">
      <c r="A396" s="3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</row>
    <row r="397">
      <c r="A397" s="3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</row>
    <row r="398">
      <c r="A398" s="3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</row>
    <row r="399">
      <c r="A399" s="3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</row>
    <row r="400">
      <c r="A400" s="3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</row>
    <row r="401">
      <c r="A401" s="3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</row>
    <row r="402">
      <c r="A402" s="3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</row>
    <row r="403">
      <c r="A403" s="3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</row>
    <row r="404">
      <c r="A404" s="3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</row>
    <row r="405">
      <c r="A405" s="3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</row>
    <row r="406">
      <c r="A406" s="3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</row>
    <row r="407">
      <c r="A407" s="3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</row>
    <row r="408">
      <c r="A408" s="3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</row>
    <row r="409">
      <c r="A409" s="3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</row>
    <row r="410">
      <c r="A410" s="3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</row>
    <row r="411">
      <c r="A411" s="3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</row>
    <row r="412">
      <c r="A412" s="3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</row>
    <row r="413">
      <c r="A413" s="3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</row>
    <row r="414">
      <c r="A414" s="3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</row>
    <row r="415">
      <c r="A415" s="3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</row>
    <row r="416">
      <c r="A416" s="3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</row>
    <row r="417">
      <c r="A417" s="3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</row>
    <row r="418">
      <c r="A418" s="3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</row>
    <row r="419">
      <c r="A419" s="3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</row>
    <row r="420">
      <c r="A420" s="3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</row>
    <row r="421">
      <c r="A421" s="3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</row>
    <row r="422">
      <c r="A422" s="3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</row>
    <row r="423">
      <c r="A423" s="3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</row>
    <row r="424">
      <c r="A424" s="3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</row>
    <row r="425">
      <c r="A425" s="3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</row>
    <row r="426">
      <c r="A426" s="3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</row>
    <row r="427">
      <c r="A427" s="3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</row>
    <row r="428">
      <c r="A428" s="3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</row>
    <row r="429">
      <c r="A429" s="3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</row>
    <row r="430">
      <c r="A430" s="3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</row>
    <row r="431">
      <c r="A431" s="3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</row>
    <row r="432">
      <c r="A432" s="3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</row>
    <row r="433">
      <c r="A433" s="3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</row>
    <row r="434">
      <c r="A434" s="3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</row>
    <row r="435">
      <c r="A435" s="3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</row>
    <row r="436">
      <c r="A436" s="3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</row>
    <row r="437">
      <c r="A437" s="3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</row>
    <row r="438">
      <c r="A438" s="3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</row>
    <row r="439">
      <c r="A439" s="3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</row>
    <row r="440">
      <c r="A440" s="3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</row>
    <row r="441">
      <c r="A441" s="3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</row>
    <row r="442">
      <c r="A442" s="3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</row>
    <row r="443">
      <c r="A443" s="3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</row>
    <row r="444">
      <c r="A444" s="3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</row>
    <row r="445">
      <c r="A445" s="3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</row>
    <row r="446">
      <c r="A446" s="3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</row>
    <row r="447">
      <c r="A447" s="3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</row>
    <row r="448">
      <c r="A448" s="3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</row>
    <row r="449">
      <c r="A449" s="3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</row>
    <row r="450">
      <c r="A450" s="3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</row>
    <row r="451">
      <c r="A451" s="3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</row>
    <row r="452">
      <c r="A452" s="3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</row>
    <row r="453">
      <c r="A453" s="3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</row>
    <row r="454">
      <c r="A454" s="3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</row>
    <row r="455">
      <c r="A455" s="3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</row>
    <row r="456">
      <c r="A456" s="3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</row>
    <row r="457">
      <c r="A457" s="3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</row>
    <row r="458">
      <c r="A458" s="3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</row>
    <row r="459">
      <c r="A459" s="3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</row>
    <row r="460">
      <c r="A460" s="3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</row>
    <row r="461">
      <c r="A461" s="3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</row>
    <row r="462">
      <c r="A462" s="3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</row>
    <row r="463">
      <c r="A463" s="3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</row>
    <row r="464">
      <c r="A464" s="3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</row>
    <row r="465">
      <c r="A465" s="3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</row>
    <row r="466">
      <c r="A466" s="3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</row>
    <row r="467">
      <c r="A467" s="3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</row>
    <row r="468">
      <c r="A468" s="3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</row>
    <row r="469">
      <c r="A469" s="3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</row>
    <row r="470">
      <c r="A470" s="3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</row>
    <row r="471">
      <c r="A471" s="3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</row>
    <row r="472">
      <c r="A472" s="3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</row>
    <row r="473">
      <c r="A473" s="3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</row>
    <row r="474">
      <c r="A474" s="3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</row>
    <row r="475">
      <c r="A475" s="3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</row>
    <row r="476">
      <c r="A476" s="3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</row>
    <row r="477">
      <c r="A477" s="3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</row>
    <row r="478">
      <c r="A478" s="3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</row>
    <row r="479">
      <c r="A479" s="3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</row>
    <row r="480">
      <c r="A480" s="3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</row>
    <row r="481">
      <c r="A481" s="3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</row>
    <row r="482">
      <c r="A482" s="3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</row>
    <row r="483">
      <c r="A483" s="3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</row>
    <row r="484">
      <c r="A484" s="3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</row>
    <row r="485">
      <c r="A485" s="3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</row>
    <row r="486">
      <c r="A486" s="3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</row>
    <row r="487">
      <c r="A487" s="3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</row>
    <row r="488">
      <c r="A488" s="3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</row>
    <row r="489">
      <c r="A489" s="3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</row>
    <row r="490">
      <c r="A490" s="3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</row>
    <row r="491">
      <c r="A491" s="3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</row>
    <row r="492">
      <c r="A492" s="3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</row>
    <row r="493">
      <c r="A493" s="3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</row>
    <row r="494">
      <c r="A494" s="3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</row>
    <row r="495">
      <c r="A495" s="3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</row>
    <row r="496">
      <c r="A496" s="3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</row>
    <row r="497">
      <c r="A497" s="3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</row>
    <row r="498">
      <c r="A498" s="3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</row>
    <row r="499">
      <c r="A499" s="3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</row>
    <row r="500">
      <c r="A500" s="3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</row>
    <row r="501">
      <c r="A501" s="3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</row>
    <row r="502">
      <c r="A502" s="3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</row>
    <row r="503">
      <c r="A503" s="3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</row>
    <row r="504">
      <c r="A504" s="3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</row>
    <row r="505">
      <c r="A505" s="3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</row>
    <row r="506">
      <c r="A506" s="3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</row>
    <row r="507">
      <c r="A507" s="3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</row>
    <row r="508">
      <c r="A508" s="3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</row>
    <row r="509">
      <c r="A509" s="3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</row>
    <row r="510">
      <c r="A510" s="3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</row>
    <row r="511">
      <c r="A511" s="3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</row>
    <row r="512">
      <c r="A512" s="3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</row>
    <row r="513">
      <c r="A513" s="3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</row>
    <row r="514">
      <c r="A514" s="3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</row>
    <row r="515">
      <c r="A515" s="3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</row>
    <row r="516">
      <c r="A516" s="3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</row>
    <row r="517">
      <c r="A517" s="3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</row>
    <row r="518">
      <c r="A518" s="3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</row>
    <row r="519">
      <c r="A519" s="3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</row>
    <row r="520">
      <c r="A520" s="3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</row>
    <row r="521">
      <c r="A521" s="3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</row>
    <row r="522">
      <c r="A522" s="3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</row>
    <row r="523">
      <c r="A523" s="3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</row>
    <row r="524">
      <c r="A524" s="3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</row>
    <row r="525">
      <c r="A525" s="3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</row>
    <row r="526">
      <c r="A526" s="3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</row>
    <row r="527">
      <c r="A527" s="3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</row>
    <row r="528">
      <c r="A528" s="3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</row>
    <row r="529">
      <c r="A529" s="3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</row>
    <row r="530">
      <c r="A530" s="3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</row>
    <row r="531">
      <c r="A531" s="3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</row>
    <row r="532">
      <c r="A532" s="3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</row>
    <row r="533">
      <c r="A533" s="3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</row>
    <row r="534">
      <c r="A534" s="3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</row>
    <row r="535">
      <c r="A535" s="3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</row>
    <row r="536">
      <c r="A536" s="3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</row>
    <row r="537">
      <c r="A537" s="3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</row>
    <row r="538">
      <c r="A538" s="3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</row>
    <row r="539">
      <c r="A539" s="3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</row>
    <row r="540">
      <c r="A540" s="3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</row>
    <row r="541">
      <c r="A541" s="3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</row>
    <row r="542">
      <c r="A542" s="3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</row>
    <row r="543">
      <c r="A543" s="3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</row>
    <row r="544">
      <c r="A544" s="3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</row>
    <row r="545">
      <c r="A545" s="3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</row>
    <row r="546">
      <c r="A546" s="3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</row>
    <row r="547">
      <c r="A547" s="3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</row>
    <row r="548">
      <c r="A548" s="3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</row>
    <row r="549">
      <c r="A549" s="3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</row>
    <row r="550">
      <c r="A550" s="3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</row>
    <row r="551">
      <c r="A551" s="3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</row>
    <row r="552">
      <c r="A552" s="3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</row>
    <row r="553">
      <c r="A553" s="3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</row>
    <row r="554">
      <c r="A554" s="3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</row>
    <row r="555">
      <c r="A555" s="3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</row>
    <row r="556">
      <c r="A556" s="3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</row>
    <row r="557">
      <c r="A557" s="3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</row>
    <row r="558">
      <c r="A558" s="3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</row>
    <row r="559">
      <c r="A559" s="3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</row>
    <row r="560">
      <c r="A560" s="3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</row>
    <row r="561">
      <c r="A561" s="3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</row>
    <row r="562">
      <c r="A562" s="3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</row>
    <row r="563">
      <c r="A563" s="3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</row>
    <row r="564">
      <c r="A564" s="3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</row>
    <row r="565">
      <c r="A565" s="3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</row>
    <row r="566">
      <c r="A566" s="3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</row>
    <row r="567">
      <c r="A567" s="3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</row>
    <row r="568">
      <c r="A568" s="3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</row>
    <row r="569">
      <c r="A569" s="3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</row>
    <row r="570">
      <c r="A570" s="3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</row>
    <row r="571">
      <c r="A571" s="3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</row>
    <row r="572">
      <c r="A572" s="3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</row>
    <row r="573">
      <c r="A573" s="3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</row>
    <row r="574">
      <c r="A574" s="3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</row>
    <row r="575">
      <c r="A575" s="3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</row>
    <row r="576">
      <c r="A576" s="3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</row>
    <row r="577">
      <c r="A577" s="3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</row>
    <row r="578">
      <c r="A578" s="3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</row>
    <row r="579">
      <c r="A579" s="3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</row>
    <row r="580">
      <c r="A580" s="3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</row>
    <row r="581">
      <c r="A581" s="3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</row>
    <row r="582">
      <c r="A582" s="3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</row>
    <row r="583">
      <c r="A583" s="3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</row>
    <row r="584">
      <c r="A584" s="3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</row>
    <row r="585">
      <c r="A585" s="3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</row>
    <row r="586">
      <c r="A586" s="3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</row>
    <row r="587">
      <c r="A587" s="3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</row>
    <row r="588">
      <c r="A588" s="3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</row>
    <row r="589">
      <c r="A589" s="3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</row>
    <row r="590">
      <c r="A590" s="3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</row>
    <row r="591">
      <c r="A591" s="3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</row>
    <row r="592">
      <c r="A592" s="3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</row>
    <row r="593">
      <c r="A593" s="3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</row>
    <row r="594">
      <c r="A594" s="3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</row>
    <row r="595">
      <c r="A595" s="3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</row>
    <row r="596">
      <c r="A596" s="3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</row>
    <row r="597">
      <c r="A597" s="3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</row>
    <row r="598">
      <c r="A598" s="3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</row>
    <row r="599">
      <c r="A599" s="3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</row>
    <row r="600">
      <c r="A600" s="3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</row>
    <row r="601">
      <c r="A601" s="3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</row>
    <row r="602">
      <c r="A602" s="3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</row>
    <row r="603">
      <c r="A603" s="3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</row>
    <row r="604">
      <c r="A604" s="3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</row>
    <row r="605">
      <c r="A605" s="3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</row>
    <row r="606">
      <c r="A606" s="3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</row>
    <row r="607">
      <c r="A607" s="3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</row>
    <row r="608">
      <c r="A608" s="3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</row>
    <row r="609">
      <c r="A609" s="3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</row>
    <row r="610">
      <c r="A610" s="3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</row>
    <row r="611">
      <c r="A611" s="3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</row>
    <row r="612">
      <c r="A612" s="3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</row>
    <row r="613">
      <c r="A613" s="3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</row>
    <row r="614">
      <c r="A614" s="3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</row>
    <row r="615">
      <c r="A615" s="3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</row>
    <row r="616">
      <c r="A616" s="3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</row>
    <row r="617">
      <c r="A617" s="3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</row>
    <row r="618">
      <c r="A618" s="3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</row>
    <row r="619">
      <c r="A619" s="3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</row>
    <row r="620">
      <c r="A620" s="3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</row>
    <row r="621">
      <c r="A621" s="3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</row>
    <row r="622">
      <c r="A622" s="3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</row>
    <row r="623">
      <c r="A623" s="3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</row>
    <row r="624">
      <c r="A624" s="3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</row>
    <row r="625">
      <c r="A625" s="3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</row>
    <row r="626">
      <c r="A626" s="3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</row>
    <row r="627">
      <c r="A627" s="3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</row>
    <row r="628">
      <c r="A628" s="3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</row>
    <row r="629">
      <c r="A629" s="3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</row>
    <row r="630">
      <c r="A630" s="3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</row>
    <row r="631">
      <c r="A631" s="3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</row>
    <row r="632">
      <c r="A632" s="3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</row>
    <row r="633">
      <c r="A633" s="3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</row>
    <row r="634">
      <c r="A634" s="3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</row>
    <row r="635">
      <c r="A635" s="3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</row>
    <row r="636">
      <c r="A636" s="3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</row>
    <row r="637">
      <c r="A637" s="3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</row>
    <row r="638">
      <c r="A638" s="3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</row>
    <row r="639">
      <c r="A639" s="3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</row>
    <row r="640">
      <c r="A640" s="3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</row>
    <row r="641">
      <c r="A641" s="3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</row>
    <row r="642">
      <c r="A642" s="3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</row>
    <row r="643">
      <c r="A643" s="3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</row>
    <row r="644">
      <c r="A644" s="3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</row>
    <row r="645">
      <c r="A645" s="3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</row>
    <row r="646">
      <c r="A646" s="3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</row>
    <row r="647">
      <c r="A647" s="3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</row>
    <row r="648">
      <c r="A648" s="3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</row>
    <row r="649">
      <c r="A649" s="3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</row>
    <row r="650">
      <c r="A650" s="3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</row>
    <row r="651">
      <c r="A651" s="3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</row>
    <row r="652">
      <c r="A652" s="3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</row>
    <row r="653">
      <c r="A653" s="3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</row>
    <row r="654">
      <c r="A654" s="3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</row>
    <row r="655">
      <c r="A655" s="3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</row>
    <row r="656">
      <c r="A656" s="3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</row>
    <row r="657">
      <c r="A657" s="3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</row>
    <row r="658">
      <c r="A658" s="3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</row>
    <row r="659">
      <c r="A659" s="3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</row>
    <row r="660">
      <c r="A660" s="3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</row>
    <row r="661">
      <c r="A661" s="3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</row>
    <row r="662">
      <c r="A662" s="3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</row>
    <row r="663">
      <c r="A663" s="3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</row>
    <row r="664">
      <c r="A664" s="3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</row>
    <row r="665">
      <c r="A665" s="3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</row>
    <row r="666">
      <c r="A666" s="3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</row>
    <row r="667">
      <c r="A667" s="3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</row>
    <row r="668">
      <c r="A668" s="3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</row>
    <row r="669">
      <c r="A669" s="3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</row>
    <row r="670">
      <c r="A670" s="3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</row>
    <row r="671">
      <c r="A671" s="3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</row>
    <row r="672">
      <c r="A672" s="3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</row>
    <row r="673">
      <c r="A673" s="3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</row>
    <row r="674">
      <c r="A674" s="3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</row>
    <row r="675">
      <c r="A675" s="3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</row>
    <row r="676">
      <c r="A676" s="3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</row>
    <row r="677">
      <c r="A677" s="3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</row>
    <row r="678">
      <c r="A678" s="3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</row>
    <row r="679">
      <c r="A679" s="3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</row>
    <row r="680">
      <c r="A680" s="3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</row>
    <row r="681">
      <c r="A681" s="3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</row>
    <row r="682">
      <c r="A682" s="3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</row>
    <row r="683">
      <c r="A683" s="3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</row>
    <row r="684">
      <c r="A684" s="3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</row>
    <row r="685">
      <c r="A685" s="3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</row>
    <row r="686">
      <c r="A686" s="3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</row>
    <row r="687">
      <c r="A687" s="3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</row>
    <row r="688">
      <c r="A688" s="3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</row>
    <row r="689">
      <c r="A689" s="3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</row>
    <row r="690">
      <c r="A690" s="3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</row>
    <row r="691">
      <c r="A691" s="3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</row>
    <row r="692">
      <c r="A692" s="3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</row>
    <row r="693">
      <c r="A693" s="3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</row>
    <row r="694">
      <c r="A694" s="3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</row>
    <row r="695">
      <c r="A695" s="3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</row>
    <row r="696">
      <c r="A696" s="3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</row>
    <row r="697">
      <c r="A697" s="3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</row>
    <row r="698">
      <c r="A698" s="3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</row>
    <row r="699">
      <c r="A699" s="3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</row>
    <row r="700">
      <c r="A700" s="3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</row>
    <row r="701">
      <c r="A701" s="3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</row>
    <row r="702">
      <c r="A702" s="3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</row>
    <row r="703">
      <c r="A703" s="3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</row>
    <row r="704">
      <c r="A704" s="3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</row>
    <row r="705">
      <c r="A705" s="3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</row>
    <row r="706">
      <c r="A706" s="3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</row>
    <row r="707">
      <c r="A707" s="3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</row>
    <row r="708">
      <c r="A708" s="3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</row>
    <row r="709">
      <c r="A709" s="3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</row>
    <row r="710">
      <c r="A710" s="3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</row>
    <row r="711">
      <c r="A711" s="3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</row>
    <row r="712">
      <c r="A712" s="3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</row>
    <row r="713">
      <c r="A713" s="3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</row>
    <row r="714">
      <c r="A714" s="3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</row>
    <row r="715">
      <c r="A715" s="3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</row>
    <row r="716">
      <c r="A716" s="3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</row>
    <row r="717">
      <c r="A717" s="3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</row>
    <row r="718">
      <c r="A718" s="3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</row>
    <row r="719">
      <c r="A719" s="3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</row>
    <row r="720">
      <c r="A720" s="3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</row>
    <row r="721">
      <c r="A721" s="3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</row>
    <row r="722">
      <c r="A722" s="3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</row>
    <row r="723">
      <c r="A723" s="3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</row>
    <row r="724">
      <c r="A724" s="3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</row>
    <row r="725">
      <c r="A725" s="3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</row>
    <row r="726">
      <c r="A726" s="3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</row>
    <row r="727">
      <c r="A727" s="3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</row>
    <row r="728">
      <c r="A728" s="3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</row>
    <row r="729">
      <c r="A729" s="3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</row>
    <row r="730">
      <c r="A730" s="3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</row>
    <row r="731">
      <c r="A731" s="3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</row>
    <row r="732">
      <c r="A732" s="3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</row>
    <row r="733">
      <c r="A733" s="3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</row>
    <row r="734">
      <c r="A734" s="3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</row>
    <row r="735">
      <c r="A735" s="3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</row>
    <row r="736">
      <c r="A736" s="3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</row>
    <row r="737">
      <c r="A737" s="3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</row>
    <row r="738">
      <c r="A738" s="3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</row>
    <row r="739">
      <c r="A739" s="3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</row>
    <row r="740">
      <c r="A740" s="3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</row>
    <row r="741">
      <c r="A741" s="3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</row>
    <row r="742">
      <c r="A742" s="3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</row>
    <row r="743">
      <c r="A743" s="3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</row>
    <row r="744">
      <c r="A744" s="3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</row>
    <row r="745">
      <c r="A745" s="3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</row>
    <row r="746">
      <c r="A746" s="3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</row>
    <row r="747">
      <c r="A747" s="3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</row>
    <row r="748">
      <c r="A748" s="3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</row>
    <row r="749">
      <c r="A749" s="3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</row>
    <row r="750">
      <c r="A750" s="3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</row>
    <row r="751">
      <c r="A751" s="3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</row>
    <row r="752">
      <c r="A752" s="3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</row>
    <row r="753">
      <c r="A753" s="3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</row>
    <row r="754">
      <c r="A754" s="3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</row>
    <row r="755">
      <c r="A755" s="3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</row>
    <row r="756">
      <c r="A756" s="3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</row>
    <row r="757">
      <c r="A757" s="3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</row>
    <row r="758">
      <c r="A758" s="3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</row>
    <row r="759">
      <c r="A759" s="3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</row>
    <row r="760">
      <c r="A760" s="3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</row>
    <row r="761">
      <c r="A761" s="3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</row>
    <row r="762">
      <c r="A762" s="3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</row>
    <row r="763">
      <c r="A763" s="3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</row>
    <row r="764">
      <c r="A764" s="3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</row>
    <row r="765">
      <c r="A765" s="3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</row>
    <row r="766">
      <c r="A766" s="3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</row>
    <row r="767">
      <c r="A767" s="3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</row>
    <row r="768">
      <c r="A768" s="3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</row>
    <row r="769">
      <c r="A769" s="3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</row>
    <row r="770">
      <c r="A770" s="3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</row>
    <row r="771">
      <c r="A771" s="3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</row>
    <row r="772">
      <c r="A772" s="3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</row>
    <row r="773">
      <c r="A773" s="3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</row>
    <row r="774">
      <c r="A774" s="3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</row>
    <row r="775">
      <c r="A775" s="3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</row>
    <row r="776">
      <c r="A776" s="3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</row>
    <row r="777">
      <c r="A777" s="3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</row>
    <row r="778">
      <c r="A778" s="3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</row>
    <row r="779">
      <c r="A779" s="3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</row>
    <row r="780">
      <c r="A780" s="3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</row>
    <row r="781">
      <c r="A781" s="3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</row>
    <row r="782">
      <c r="A782" s="3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</row>
    <row r="783">
      <c r="A783" s="3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</row>
    <row r="784">
      <c r="A784" s="3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</row>
    <row r="785">
      <c r="A785" s="3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</row>
    <row r="786">
      <c r="A786" s="3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</row>
    <row r="787">
      <c r="A787" s="3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</row>
    <row r="788">
      <c r="A788" s="3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</row>
    <row r="789">
      <c r="A789" s="3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</row>
    <row r="790">
      <c r="A790" s="3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</row>
    <row r="791">
      <c r="A791" s="3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</row>
    <row r="792">
      <c r="A792" s="3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</row>
    <row r="793">
      <c r="A793" s="3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</row>
    <row r="794">
      <c r="A794" s="3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</row>
    <row r="795">
      <c r="A795" s="3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</row>
    <row r="796">
      <c r="A796" s="3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</row>
    <row r="797">
      <c r="A797" s="3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</row>
    <row r="798">
      <c r="A798" s="3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</row>
    <row r="799">
      <c r="A799" s="3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</row>
    <row r="800">
      <c r="A800" s="3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</row>
    <row r="801">
      <c r="A801" s="3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</row>
    <row r="802">
      <c r="A802" s="3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</row>
    <row r="803">
      <c r="A803" s="3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</row>
    <row r="804">
      <c r="A804" s="3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</row>
    <row r="805">
      <c r="A805" s="3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</row>
    <row r="806">
      <c r="A806" s="3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</row>
    <row r="807">
      <c r="A807" s="3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</row>
    <row r="808">
      <c r="A808" s="3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</row>
    <row r="809">
      <c r="A809" s="3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</row>
    <row r="810">
      <c r="A810" s="3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</row>
    <row r="811">
      <c r="A811" s="3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</row>
    <row r="812">
      <c r="A812" s="3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</row>
    <row r="813">
      <c r="A813" s="3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</row>
    <row r="814">
      <c r="A814" s="3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</row>
    <row r="815">
      <c r="A815" s="3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</row>
    <row r="816">
      <c r="A816" s="3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</row>
    <row r="817">
      <c r="A817" s="3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</row>
    <row r="818">
      <c r="A818" s="3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</row>
    <row r="819">
      <c r="A819" s="3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</row>
    <row r="820">
      <c r="A820" s="3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</row>
    <row r="821">
      <c r="A821" s="3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</row>
    <row r="822">
      <c r="A822" s="3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</row>
    <row r="823">
      <c r="A823" s="3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</row>
    <row r="824">
      <c r="A824" s="3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</row>
    <row r="825">
      <c r="A825" s="3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</row>
    <row r="826">
      <c r="A826" s="3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</row>
    <row r="827">
      <c r="A827" s="3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</row>
    <row r="828">
      <c r="A828" s="3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</row>
    <row r="829">
      <c r="A829" s="3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</row>
    <row r="830">
      <c r="A830" s="3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</row>
    <row r="831">
      <c r="A831" s="3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</row>
    <row r="832">
      <c r="A832" s="3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</row>
    <row r="833">
      <c r="A833" s="3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</row>
    <row r="834">
      <c r="A834" s="3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</row>
    <row r="835">
      <c r="A835" s="3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</row>
    <row r="836">
      <c r="A836" s="3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</row>
    <row r="837">
      <c r="A837" s="3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</row>
    <row r="838">
      <c r="A838" s="3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</row>
    <row r="839">
      <c r="A839" s="3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</row>
    <row r="840">
      <c r="A840" s="3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</row>
    <row r="841">
      <c r="A841" s="3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</row>
  </sheetData>
  <mergeCells count="28">
    <mergeCell ref="K176:L176"/>
    <mergeCell ref="K181:L181"/>
    <mergeCell ref="K192:L192"/>
    <mergeCell ref="K193:L193"/>
    <mergeCell ref="K194:L194"/>
    <mergeCell ref="K195:L195"/>
    <mergeCell ref="K197:L197"/>
    <mergeCell ref="K199:L199"/>
    <mergeCell ref="K209:L209"/>
    <mergeCell ref="K211:L211"/>
    <mergeCell ref="K212:L212"/>
    <mergeCell ref="K223:L223"/>
    <mergeCell ref="K4:L4"/>
    <mergeCell ref="K11:L11"/>
    <mergeCell ref="K14:L14"/>
    <mergeCell ref="K17:L17"/>
    <mergeCell ref="K19:L19"/>
    <mergeCell ref="K22:L22"/>
    <mergeCell ref="K26:L26"/>
    <mergeCell ref="K34:L34"/>
    <mergeCell ref="K37:L37"/>
    <mergeCell ref="K62:L62"/>
    <mergeCell ref="K98:L98"/>
    <mergeCell ref="K99:L99"/>
    <mergeCell ref="K100:L100"/>
    <mergeCell ref="K170:L170"/>
    <mergeCell ref="K228:L228"/>
    <mergeCell ref="K233:L233"/>
  </mergeCells>
  <drawing r:id="rId1"/>
</worksheet>
</file>